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k\7_sem\STIAOS\prac_2\"/>
    </mc:Choice>
  </mc:AlternateContent>
  <xr:revisionPtr revIDLastSave="0" documentId="13_ncr:1_{A4CBE9EF-4282-4B69-A2A0-B62ACEAC270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ПЗ_2.1" sheetId="1" r:id="rId1"/>
    <sheet name="ПЗ_2.2" sheetId="2" r:id="rId2"/>
    <sheet name="ПЗ_2.3" sheetId="3" r:id="rId3"/>
    <sheet name="Инд задание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" l="1"/>
  <c r="E18" i="1" s="1"/>
  <c r="B2" i="1"/>
  <c r="C2" i="1" s="1"/>
  <c r="F24" i="3"/>
  <c r="E63" i="1"/>
  <c r="D63" i="1"/>
  <c r="B63" i="1"/>
  <c r="B61" i="1"/>
  <c r="E48" i="1"/>
  <c r="D48" i="1"/>
  <c r="B48" i="1"/>
  <c r="B46" i="1"/>
  <c r="E34" i="1"/>
  <c r="D34" i="1"/>
  <c r="B33" i="1"/>
  <c r="B31" i="1"/>
  <c r="B16" i="1"/>
  <c r="C6" i="1"/>
  <c r="C5" i="1"/>
  <c r="C4" i="1"/>
  <c r="C3" i="1"/>
  <c r="C7" i="1"/>
  <c r="B18" i="1"/>
  <c r="B7" i="1"/>
  <c r="B6" i="1"/>
  <c r="B5" i="1"/>
  <c r="B4" i="1"/>
  <c r="B3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<sst xmlns="http://schemas.openxmlformats.org/spreadsheetml/2006/main" count="511" uniqueCount="295">
  <si>
    <t>Адрес IPv4/префикс</t>
  </si>
  <si>
    <t>Сетевой адрес</t>
  </si>
  <si>
    <t>Широковещательный адрес</t>
  </si>
  <si>
    <t>Общее количество битов узлов</t>
  </si>
  <si>
    <t>Общее количество узлов</t>
  </si>
  <si>
    <t>192.168.100.25/28</t>
  </si>
  <si>
    <t>172.30.10.130/30</t>
  </si>
  <si>
    <t>10.1.113.75/19</t>
  </si>
  <si>
    <t>198.133.219.250/24</t>
  </si>
  <si>
    <t>128.107.14.191/22</t>
  </si>
  <si>
    <t>172.16.104.99/27</t>
  </si>
  <si>
    <t>192.168.100.16</t>
  </si>
  <si>
    <t>172.16.224.0</t>
  </si>
  <si>
    <t>172.16.255.255</t>
  </si>
  <si>
    <t>192.133.219.0</t>
  </si>
  <si>
    <t>192.133.219.255</t>
  </si>
  <si>
    <t>Побитовое и</t>
  </si>
  <si>
    <t>172.30.10.128</t>
  </si>
  <si>
    <t>10.1.112.0</t>
  </si>
  <si>
    <t>128.107.12.0</t>
  </si>
  <si>
    <t>172.16.104.96</t>
  </si>
  <si>
    <t>Дано:</t>
  </si>
  <si>
    <t>IP-адрес узла</t>
  </si>
  <si>
    <t>192.168.200.139</t>
  </si>
  <si>
    <t>Исходная маска подсети</t>
  </si>
  <si>
    <t>255.255.255.0</t>
  </si>
  <si>
    <t>Новая маска подсети</t>
  </si>
  <si>
    <t>255.255.255.224</t>
  </si>
  <si>
    <t>Найти:</t>
  </si>
  <si>
    <t>Количество битов подсети</t>
  </si>
  <si>
    <t>Количество созданных подсетей</t>
  </si>
  <si>
    <t>Количество битов узлов в подсети</t>
  </si>
  <si>
    <t>Количество узлов в подсети</t>
  </si>
  <si>
    <t>Сетевой адрес этой подсети</t>
  </si>
  <si>
    <t>Адрес IPv4 первого узла в этой подсети</t>
  </si>
  <si>
    <t>Адрес IPv4 последнего узла в этой подсети</t>
  </si>
  <si>
    <t>Широковещательный адрес IPv4 в этой подсети</t>
  </si>
  <si>
    <t>192.168.200.128</t>
  </si>
  <si>
    <t>192.168.200.129</t>
  </si>
  <si>
    <t>192.168.100.31</t>
  </si>
  <si>
    <t>172.30.10.131</t>
  </si>
  <si>
    <t>128.107.15.255</t>
  </si>
  <si>
    <t>172.16.104.127</t>
  </si>
  <si>
    <t>Побитовое or</t>
  </si>
  <si>
    <t>10.1.127.255</t>
  </si>
  <si>
    <t>192.168.200.158</t>
  </si>
  <si>
    <t>192.168.200.159</t>
  </si>
  <si>
    <t>10.101.99.228</t>
  </si>
  <si>
    <t>255.0.0.0</t>
  </si>
  <si>
    <t>255.255.128.0</t>
  </si>
  <si>
    <t>10.101.0.0</t>
  </si>
  <si>
    <t>10.101.127.255</t>
  </si>
  <si>
    <t>10.101.127.254</t>
  </si>
  <si>
    <t>10.101.0.1</t>
  </si>
  <si>
    <t>128.107.0.55</t>
  </si>
  <si>
    <t>255.255.0.0</t>
  </si>
  <si>
    <t>C</t>
  </si>
  <si>
    <t>D</t>
  </si>
  <si>
    <t>E</t>
  </si>
  <si>
    <t>F</t>
  </si>
  <si>
    <t>128.107.0.0</t>
  </si>
  <si>
    <t>128.107.0.1</t>
  </si>
  <si>
    <t>128.107.0.254</t>
  </si>
  <si>
    <t>128.107.0.255</t>
  </si>
  <si>
    <t>192.135.250.180</t>
  </si>
  <si>
    <t>255.255.255.248</t>
  </si>
  <si>
    <t>192.135.250.176</t>
  </si>
  <si>
    <t>192.135.250.177</t>
  </si>
  <si>
    <t>192.135.250.183</t>
  </si>
  <si>
    <t>192.135.250.182</t>
  </si>
  <si>
    <r>
      <t>Шаг 1:</t>
    </r>
    <r>
      <rPr>
        <b/>
        <sz val="7"/>
        <color theme="1"/>
        <rFont val="Times New Roman"/>
        <family val="1"/>
        <charset val="204"/>
      </rPr>
      <t xml:space="preserve">      </t>
    </r>
    <r>
      <rPr>
        <b/>
        <sz val="11"/>
        <color theme="1"/>
        <rFont val="Arial"/>
        <family val="2"/>
        <charset val="204"/>
      </rPr>
      <t>Определите количество подсетей в топологии сети А.</t>
    </r>
  </si>
  <si>
    <r>
      <t>Шаг 2:</t>
    </r>
    <r>
      <rPr>
        <b/>
        <sz val="7"/>
        <color theme="1"/>
        <rFont val="Times New Roman"/>
        <family val="1"/>
        <charset val="204"/>
      </rPr>
      <t xml:space="preserve">      </t>
    </r>
    <r>
      <rPr>
        <b/>
        <sz val="11"/>
        <color theme="1"/>
        <rFont val="Arial"/>
        <family val="2"/>
        <charset val="204"/>
      </rPr>
      <t>Запишите информацию о подсетях.</t>
    </r>
  </si>
  <si>
    <t>Занесите информацию о подсетях в следующую таблицу:</t>
  </si>
  <si>
    <t>Номер подсети</t>
  </si>
  <si>
    <t>Адрес подсети</t>
  </si>
  <si>
    <t>Первый используемый адрес узла</t>
  </si>
  <si>
    <t>Последний используемый адрес узла</t>
  </si>
  <si>
    <r>
      <t>a.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>Заполните следующую таблицу IP-адресов и масок подсетей для интерфейсов маршрутизаторов:</t>
    </r>
  </si>
  <si>
    <t>Устройство</t>
  </si>
  <si>
    <t>Интерфейс</t>
  </si>
  <si>
    <t>IP-адрес</t>
  </si>
  <si>
    <t>Маска подсети</t>
  </si>
  <si>
    <t>R1</t>
  </si>
  <si>
    <t>GigabitEthernet 0/1</t>
  </si>
  <si>
    <t>192.168.10.1</t>
  </si>
  <si>
    <t>Serial 0/0/0</t>
  </si>
  <si>
    <t>Serial 0/0/1</t>
  </si>
  <si>
    <t>192.168.10.33</t>
  </si>
  <si>
    <t>R2</t>
  </si>
  <si>
    <t>192.168.10.65</t>
  </si>
  <si>
    <t>R3</t>
  </si>
  <si>
    <t>192.168.10.97</t>
  </si>
  <si>
    <t>192.168.10.129</t>
  </si>
  <si>
    <r>
      <t>b.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>Заполните приведённую ниже таблицу IP-адресов и масок подсети для указанных в топологии устройств в локальной сети.</t>
    </r>
  </si>
  <si>
    <t>Шлюз по умолчанию</t>
  </si>
  <si>
    <t>ПК-А</t>
  </si>
  <si>
    <t>Сетевой адаптер</t>
  </si>
  <si>
    <t>ПК-Б</t>
  </si>
  <si>
    <t>Switch1</t>
  </si>
  <si>
    <t>VLAN 1</t>
  </si>
  <si>
    <t>ПК-В</t>
  </si>
  <si>
    <t>ПК-Г</t>
  </si>
  <si>
    <t>Switch 2</t>
  </si>
  <si>
    <t>ПК-Д</t>
  </si>
  <si>
    <t>ПК-Е</t>
  </si>
  <si>
    <t>Switch 3</t>
  </si>
  <si>
    <r>
      <t>Шаг 3:</t>
    </r>
    <r>
      <rPr>
        <b/>
        <sz val="7"/>
        <color theme="1"/>
        <rFont val="Times New Roman"/>
        <family val="1"/>
        <charset val="204"/>
      </rPr>
      <t xml:space="preserve">      </t>
    </r>
    <r>
      <rPr>
        <b/>
        <sz val="11"/>
        <color theme="1"/>
        <rFont val="Arial"/>
        <family val="2"/>
        <charset val="204"/>
      </rPr>
      <t>Назначьте адреса сетевым устройствам в подсетях.</t>
    </r>
  </si>
  <si>
    <r>
      <t>a.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>Каково количество подсетей? _____6_____</t>
    </r>
  </si>
  <si>
    <r>
      <t>b.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>Сколько битов необходимо использовать для создания необходимого количества подсетей? ____3____</t>
    </r>
  </si>
  <si>
    <t>Топология снова изменилась — добавилась новая локальная сеть, подключённая к маршрутизатору R2, 
а также канал связи между маршрутизаторами R1 и R3. Используя сетевой адрес 192.168.10.0/24, получите адреса для сетевых устройств, а затем составьте схему IP-адресации, в которой можно будет разместить дополнительные устройства. Для этой топологии каждой сети необходимо назначить отдельную подсеть.</t>
  </si>
  <si>
    <r>
      <t>d.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>Как будет выглядеть новая маска подсети в десятичном формате с точкой-разделителем? ________255.255.255.224___________</t>
    </r>
  </si>
  <si>
    <r>
      <t>e.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 xml:space="preserve">Сколько подсетей останутся свободны для использования в будущем? _______2_______ </t>
    </r>
  </si>
  <si>
    <t>192.168.10.0</t>
  </si>
  <si>
    <t>192.168.10.126</t>
  </si>
  <si>
    <r>
      <t>c.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>Сколько имеется полезных адресов узла в подсети в данной структуре адресации? ___30____</t>
    </r>
  </si>
  <si>
    <t>192.168.10.30</t>
  </si>
  <si>
    <t>192.168.10.32</t>
  </si>
  <si>
    <t>192.168.10.64</t>
  </si>
  <si>
    <t>192.168.10.96</t>
  </si>
  <si>
    <t>192.168.10.128</t>
  </si>
  <si>
    <t>192.168.10.160</t>
  </si>
  <si>
    <t>192.168.10.192</t>
  </si>
  <si>
    <t>192.168.10.224</t>
  </si>
  <si>
    <t>192.168.10.161</t>
  </si>
  <si>
    <t>192.168.10.193</t>
  </si>
  <si>
    <t>192.168.10.225</t>
  </si>
  <si>
    <t>192.168.10.31</t>
  </si>
  <si>
    <t>192.168.10.62</t>
  </si>
  <si>
    <t>192.168.10.63</t>
  </si>
  <si>
    <t>192.168.10.94</t>
  </si>
  <si>
    <t>192.168.10.158</t>
  </si>
  <si>
    <t>192.168.10.190</t>
  </si>
  <si>
    <t>192.168.10.222</t>
  </si>
  <si>
    <t>192.168.10.254</t>
  </si>
  <si>
    <t>192.168.10.95</t>
  </si>
  <si>
    <t>192.168.10.127</t>
  </si>
  <si>
    <t>192.168.10.159</t>
  </si>
  <si>
    <t>192.168.10.191</t>
  </si>
  <si>
    <t>192.168.10.223</t>
  </si>
  <si>
    <t>192.168.10.255</t>
  </si>
  <si>
    <t>192.168.10.2</t>
  </si>
  <si>
    <t>192.168.10.3</t>
  </si>
  <si>
    <t>192.168.10.4</t>
  </si>
  <si>
    <t>192.168.10.98</t>
  </si>
  <si>
    <t>192.168.10.99</t>
  </si>
  <si>
    <t>192.168.10.100</t>
  </si>
  <si>
    <r>
      <t>Шаг 1:</t>
    </r>
    <r>
      <rPr>
        <b/>
        <sz val="7"/>
        <color theme="1"/>
        <rFont val="Times New Roman"/>
        <family val="1"/>
        <charset val="204"/>
      </rPr>
      <t xml:space="preserve">      </t>
    </r>
    <r>
      <rPr>
        <b/>
        <sz val="11"/>
        <color theme="1"/>
        <rFont val="Arial"/>
        <family val="2"/>
        <charset val="204"/>
      </rPr>
      <t>Определите количество подсетей в топологии сети В.</t>
    </r>
  </si>
  <si>
    <t>GigabitEthernet 0/0</t>
  </si>
  <si>
    <t>У компании имеется сетевой адрес 172.16.128.0/17, который нужно разделить в соответствии с приведённой ниже топологией. 
Вам необходимо выбрать схему адресации, в которой можно разместить такое количество сетей и узлов.</t>
  </si>
  <si>
    <r>
      <t>a.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 xml:space="preserve">Каково количество подсетей? _____9_____ </t>
    </r>
  </si>
  <si>
    <r>
      <t>b.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>Сколько битов необходимо использовать для создания необходимого количества подсетей? ____4____</t>
    </r>
  </si>
  <si>
    <r>
      <t>c.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>Сколько имеется полезных адресов узла в подсети в данной структуре адресации? ___14____</t>
    </r>
  </si>
  <si>
    <r>
      <t>e.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 xml:space="preserve">Сколько подсетей останутся свободны для использования в будущем? _____7_________ </t>
    </r>
  </si>
  <si>
    <t>172.16.128.0</t>
  </si>
  <si>
    <t>172.16.128.1</t>
  </si>
  <si>
    <r>
      <t>d.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0"/>
        <color theme="1"/>
        <rFont val="Arial"/>
        <family val="2"/>
        <charset val="204"/>
      </rPr>
      <t>Как будет выглядеть новая маска подсети в десятичном формате с точкой-разделителем? ________255.255.248.0___________</t>
    </r>
  </si>
  <si>
    <t>172.16.136.0</t>
  </si>
  <si>
    <t>172.16.144.0</t>
  </si>
  <si>
    <t>172.16.152.0</t>
  </si>
  <si>
    <t>172.16.160.0</t>
  </si>
  <si>
    <t>172.16.168.0</t>
  </si>
  <si>
    <t>172.16.192.0</t>
  </si>
  <si>
    <t>172.16.192.1</t>
  </si>
  <si>
    <t>172.16.200.0</t>
  </si>
  <si>
    <t>172.16.200.1</t>
  </si>
  <si>
    <t>172.16.208.0</t>
  </si>
  <si>
    <t>172.16.216.0</t>
  </si>
  <si>
    <t>172.16.136.1</t>
  </si>
  <si>
    <t>172.16.176.0</t>
  </si>
  <si>
    <t>172.16.184.0</t>
  </si>
  <si>
    <t>172.16.232.0</t>
  </si>
  <si>
    <t>172.16.240.0</t>
  </si>
  <si>
    <t>172.16.248.0</t>
  </si>
  <si>
    <t>172.16.144.1</t>
  </si>
  <si>
    <t>172.16.152.1</t>
  </si>
  <si>
    <t>172.16.160.1</t>
  </si>
  <si>
    <t>172.16.168.1</t>
  </si>
  <si>
    <t>172.16.176.1</t>
  </si>
  <si>
    <t>172.16.184.1</t>
  </si>
  <si>
    <t>172.16.208.1</t>
  </si>
  <si>
    <t>172.16.216.1</t>
  </si>
  <si>
    <t>172.16.224.1</t>
  </si>
  <si>
    <t>172.16.232.1</t>
  </si>
  <si>
    <t>172.16.240.1</t>
  </si>
  <si>
    <t>172.16.248.1</t>
  </si>
  <si>
    <t>172.16.144.2</t>
  </si>
  <si>
    <t>172.16.255.254</t>
  </si>
  <si>
    <t>172.16.143.255</t>
  </si>
  <si>
    <t>172.16.151.255</t>
  </si>
  <si>
    <t>172.16.159.255</t>
  </si>
  <si>
    <t>172.16.167.255</t>
  </si>
  <si>
    <t>172.16.175.255</t>
  </si>
  <si>
    <t>172.16.183.255</t>
  </si>
  <si>
    <t>172.16.191.255</t>
  </si>
  <si>
    <t>172.16.199.255</t>
  </si>
  <si>
    <t>172.16.207.255</t>
  </si>
  <si>
    <t>172.16.215.255</t>
  </si>
  <si>
    <t>172.16.223.255</t>
  </si>
  <si>
    <t>172.16.231.255</t>
  </si>
  <si>
    <t>172.16.239.255</t>
  </si>
  <si>
    <t>172.16.247.255</t>
  </si>
  <si>
    <t>172.16.143.254</t>
  </si>
  <si>
    <t>172.16.151.254</t>
  </si>
  <si>
    <t>172.16.159.254</t>
  </si>
  <si>
    <t>172.16.167.254</t>
  </si>
  <si>
    <t>172.16.175.254</t>
  </si>
  <si>
    <t>172.16.183.254</t>
  </si>
  <si>
    <t>172.16.191.254</t>
  </si>
  <si>
    <t>172.16.199.254</t>
  </si>
  <si>
    <t>172.16.207.254</t>
  </si>
  <si>
    <t>172.16.215.254</t>
  </si>
  <si>
    <t>172.16.223.254</t>
  </si>
  <si>
    <t>172.16.231.254</t>
  </si>
  <si>
    <t>172.16.239.254</t>
  </si>
  <si>
    <t>172.16.247.254</t>
  </si>
  <si>
    <t>255.255.248.0</t>
  </si>
  <si>
    <t>192.168.10.34</t>
  </si>
  <si>
    <t>192.168.10.66</t>
  </si>
  <si>
    <t>192.168.10.130</t>
  </si>
  <si>
    <t>192.168.10.162</t>
  </si>
  <si>
    <t>192.168.10.163</t>
  </si>
  <si>
    <t>192.168.10.164</t>
  </si>
  <si>
    <t>172.16.152.2</t>
  </si>
  <si>
    <t>172.16.176.2</t>
  </si>
  <si>
    <t>172.16.254.0/23</t>
  </si>
  <si>
    <t>172.16.254.0/24</t>
  </si>
  <si>
    <t>172.16.254.0/25</t>
  </si>
  <si>
    <t xml:space="preserve">№ п/п. </t>
  </si>
  <si>
    <t>Адрес сети</t>
  </si>
  <si>
    <t>Количество хостов</t>
  </si>
  <si>
    <t>10.251.16.0/22</t>
  </si>
  <si>
    <t>Адреса подсетей</t>
  </si>
  <si>
    <t>10.251.16.0/23</t>
  </si>
  <si>
    <t>№ подсети\Шаг</t>
  </si>
  <si>
    <t>10.251.18.0/23</t>
  </si>
  <si>
    <t>10.251.18.0/24</t>
  </si>
  <si>
    <t>10.251.19.0/24</t>
  </si>
  <si>
    <t>-</t>
  </si>
  <si>
    <t>какая подсеть разбивается</t>
  </si>
  <si>
    <t>в какие подсети разбиваются</t>
  </si>
  <si>
    <t>10.251</t>
  </si>
  <si>
    <t>какие подсети окончательно разбиты</t>
  </si>
  <si>
    <t>1, 5</t>
  </si>
  <si>
    <t>10.251.16.0/24</t>
  </si>
  <si>
    <t>10.251.17.0/24</t>
  </si>
  <si>
    <t>10.251.16.0/25</t>
  </si>
  <si>
    <t>10.251.16.128/25</t>
  </si>
  <si>
    <t>10.251.17.0/25</t>
  </si>
  <si>
    <t>10.251.17.128/25</t>
  </si>
  <si>
    <t>10.251.17.0/26</t>
  </si>
  <si>
    <t>7, 8</t>
  </si>
  <si>
    <t>10.251.17.64/26</t>
  </si>
  <si>
    <t>10.251.16.0/26</t>
  </si>
  <si>
    <t>10.251.16.64/26</t>
  </si>
  <si>
    <t>10.251.16.0/27</t>
  </si>
  <si>
    <t>10.251.16.32/27</t>
  </si>
  <si>
    <t>Какие хосты 
"закрыты"</t>
  </si>
  <si>
    <t>10.251.16.0/28</t>
  </si>
  <si>
    <t>10.251.16.16/28</t>
  </si>
  <si>
    <t>10.251.16.0/29</t>
  </si>
  <si>
    <t>10.251.16.8/29</t>
  </si>
  <si>
    <t>10.251.16.0/30</t>
  </si>
  <si>
    <t>10.251.16.4/30</t>
  </si>
  <si>
    <t>10.251.16.8/30</t>
  </si>
  <si>
    <t>10.251.16.12/30</t>
  </si>
  <si>
    <t>2, 3, 4</t>
  </si>
  <si>
    <t>№ Хоста</t>
  </si>
  <si>
    <t>Широк-вещ</t>
  </si>
  <si>
    <t>First узел</t>
  </si>
  <si>
    <t>Last узел</t>
  </si>
  <si>
    <t>10.251.18.1/24</t>
  </si>
  <si>
    <t>10.251.16.1/30</t>
  </si>
  <si>
    <t>10.251.16.5/30</t>
  </si>
  <si>
    <t>10.251.16.9/30</t>
  </si>
  <si>
    <t>10.251.19.1/24</t>
  </si>
  <si>
    <t>10.251.17.129/25</t>
  </si>
  <si>
    <t>10.251.17.1/26</t>
  </si>
  <si>
    <t>10.251.17.65/26</t>
  </si>
  <si>
    <t>Всего узлов</t>
  </si>
  <si>
    <t>Надо узлов</t>
  </si>
  <si>
    <t>10.251.18.255/24</t>
  </si>
  <si>
    <t>10.251.19.255/24</t>
  </si>
  <si>
    <t>10.251.17.255/25</t>
  </si>
  <si>
    <t>10.251.18.254/24</t>
  </si>
  <si>
    <t>10.251.19.254/24</t>
  </si>
  <si>
    <t>10.251.17.254/25</t>
  </si>
  <si>
    <t>10.251.16.2/30</t>
  </si>
  <si>
    <t>10.251.16.3/30</t>
  </si>
  <si>
    <t>10.251.16.6/30</t>
  </si>
  <si>
    <t>10.251.16.7/30</t>
  </si>
  <si>
    <t>10.251.16.11/30</t>
  </si>
  <si>
    <t>10.251.16.10/30</t>
  </si>
  <si>
    <t>10.251.17.63/26</t>
  </si>
  <si>
    <t>10.251.17.127/26</t>
  </si>
  <si>
    <t>10.251.17.126/26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</si>
</sst>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7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7"/>
    </xf>
    <xf numFmtId="0" fontId="1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5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4" borderId="0" xfId="0" applyFill="1"/>
    <xf numFmtId="0" fontId="11" fillId="0" borderId="0" xfId="0" applyFont="1"/>
    <xf numFmtId="0" fontId="0" fillId="3" borderId="10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5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0" xfId="0"/>
    <xf numFmtId="0" fontId="9" fillId="0" borderId="0" xfId="0" applyFont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9</xdr:row>
      <xdr:rowOff>66675</xdr:rowOff>
    </xdr:from>
    <xdr:to>
      <xdr:col>8</xdr:col>
      <xdr:colOff>142875</xdr:colOff>
      <xdr:row>23</xdr:row>
      <xdr:rowOff>174625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85B6D83F-ED35-95D4-C122-2A980B556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781175"/>
          <a:ext cx="6419850" cy="27749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47625</xdr:colOff>
      <xdr:row>81</xdr:row>
      <xdr:rowOff>66675</xdr:rowOff>
    </xdr:from>
    <xdr:to>
      <xdr:col>7</xdr:col>
      <xdr:colOff>200025</xdr:colOff>
      <xdr:row>96</xdr:row>
      <xdr:rowOff>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22F9A03A-9CA2-3FA0-6633-6A755D54D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9688175"/>
          <a:ext cx="5876925" cy="2790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3</xdr:row>
      <xdr:rowOff>123825</xdr:rowOff>
    </xdr:from>
    <xdr:to>
      <xdr:col>10</xdr:col>
      <xdr:colOff>419100</xdr:colOff>
      <xdr:row>16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AE0FD6-71E6-692D-A34D-0A2A30EFD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695325"/>
          <a:ext cx="5324475" cy="2362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workbookViewId="0">
      <selection activeCell="D10" sqref="D10"/>
    </sheetView>
  </sheetViews>
  <sheetFormatPr defaultRowHeight="15" x14ac:dyDescent="0.25"/>
  <cols>
    <col min="1" max="1" width="33" customWidth="1"/>
    <col min="2" max="2" width="17.42578125" customWidth="1"/>
    <col min="3" max="3" width="22.5703125" customWidth="1"/>
    <col min="4" max="4" width="16.5703125" customWidth="1"/>
    <col min="5" max="5" width="18.85546875" customWidth="1"/>
  </cols>
  <sheetData>
    <row r="1" spans="1:7" ht="64.5" thickBot="1" x14ac:dyDescent="0.3">
      <c r="A1" s="10" t="s">
        <v>0</v>
      </c>
      <c r="B1" s="1" t="s">
        <v>16</v>
      </c>
      <c r="C1" s="16" t="s">
        <v>43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5.75" thickBot="1" x14ac:dyDescent="0.3">
      <c r="A2" s="9" t="s">
        <v>5</v>
      </c>
      <c r="B2" s="12">
        <f>_xlfn.BITAND(25,240)</f>
        <v>16</v>
      </c>
      <c r="C2" s="12">
        <f>_xlfn.BITOR(B2,15)</f>
        <v>31</v>
      </c>
      <c r="D2" s="6" t="s">
        <v>11</v>
      </c>
      <c r="E2" s="6" t="s">
        <v>39</v>
      </c>
      <c r="F2" s="5">
        <v>4</v>
      </c>
      <c r="G2" s="6">
        <f>2^F2-2</f>
        <v>14</v>
      </c>
    </row>
    <row r="3" spans="1:7" ht="15.75" thickBot="1" x14ac:dyDescent="0.3">
      <c r="A3" s="9" t="s">
        <v>6</v>
      </c>
      <c r="B3" s="12">
        <f>_xlfn.BITAND(130,252)</f>
        <v>128</v>
      </c>
      <c r="C3" s="12">
        <f>_xlfn.BITOR(B3,3)</f>
        <v>131</v>
      </c>
      <c r="D3" s="6" t="s">
        <v>17</v>
      </c>
      <c r="E3" s="6" t="s">
        <v>40</v>
      </c>
      <c r="F3" s="5">
        <v>2</v>
      </c>
      <c r="G3" s="6">
        <f t="shared" ref="G3:G7" si="0">2^F3-2</f>
        <v>2</v>
      </c>
    </row>
    <row r="4" spans="1:7" ht="15.75" thickBot="1" x14ac:dyDescent="0.3">
      <c r="A4" s="9" t="s">
        <v>7</v>
      </c>
      <c r="B4" s="12">
        <f>_xlfn.BITAND(113,248)</f>
        <v>112</v>
      </c>
      <c r="C4" s="12">
        <f>_xlfn.BITOR(B4,31)</f>
        <v>127</v>
      </c>
      <c r="D4" s="6" t="s">
        <v>18</v>
      </c>
      <c r="E4" s="6" t="s">
        <v>44</v>
      </c>
      <c r="F4" s="5">
        <v>13</v>
      </c>
      <c r="G4" s="6">
        <f t="shared" si="0"/>
        <v>8190</v>
      </c>
    </row>
    <row r="5" spans="1:7" ht="15.75" thickBot="1" x14ac:dyDescent="0.3">
      <c r="A5" s="9" t="s">
        <v>8</v>
      </c>
      <c r="B5" s="12">
        <f>_xlfn.BITAND(250,0)</f>
        <v>0</v>
      </c>
      <c r="C5" s="12">
        <f>_xlfn.BITOR(B5,255)</f>
        <v>255</v>
      </c>
      <c r="D5" s="6" t="s">
        <v>14</v>
      </c>
      <c r="E5" s="6" t="s">
        <v>15</v>
      </c>
      <c r="F5" s="5">
        <v>8</v>
      </c>
      <c r="G5" s="6">
        <f t="shared" si="0"/>
        <v>254</v>
      </c>
    </row>
    <row r="6" spans="1:7" ht="15.75" thickBot="1" x14ac:dyDescent="0.3">
      <c r="A6" s="9" t="s">
        <v>9</v>
      </c>
      <c r="B6" s="12">
        <f>_xlfn.BITAND(14,252)</f>
        <v>12</v>
      </c>
      <c r="C6" s="12">
        <f>_xlfn.BITOR(B6,3)</f>
        <v>15</v>
      </c>
      <c r="D6" s="11" t="s">
        <v>19</v>
      </c>
      <c r="E6" s="6" t="s">
        <v>41</v>
      </c>
      <c r="F6" s="5">
        <v>10</v>
      </c>
      <c r="G6" s="6">
        <f t="shared" si="0"/>
        <v>1022</v>
      </c>
    </row>
    <row r="7" spans="1:7" ht="15.75" thickBot="1" x14ac:dyDescent="0.3">
      <c r="A7" s="9" t="s">
        <v>10</v>
      </c>
      <c r="B7" s="12">
        <f>_xlfn.BITAND(99,224)</f>
        <v>96</v>
      </c>
      <c r="C7" s="12">
        <f t="shared" ref="C7" si="1">_xlfn.BITOR(B7,31)</f>
        <v>127</v>
      </c>
      <c r="D7" s="15" t="s">
        <v>20</v>
      </c>
      <c r="E7" s="6" t="s">
        <v>42</v>
      </c>
      <c r="F7" s="5">
        <v>5</v>
      </c>
      <c r="G7" s="6">
        <f t="shared" si="0"/>
        <v>30</v>
      </c>
    </row>
    <row r="9" spans="1:7" ht="15.75" thickBot="1" x14ac:dyDescent="0.3">
      <c r="A9" s="17" t="s">
        <v>56</v>
      </c>
    </row>
    <row r="10" spans="1:7" ht="15.75" thickBot="1" x14ac:dyDescent="0.3">
      <c r="A10" s="52" t="s">
        <v>21</v>
      </c>
      <c r="B10" s="53"/>
    </row>
    <row r="11" spans="1:7" ht="15.75" thickBot="1" x14ac:dyDescent="0.3">
      <c r="A11" s="13" t="s">
        <v>22</v>
      </c>
      <c r="B11" s="4" t="s">
        <v>23</v>
      </c>
    </row>
    <row r="12" spans="1:7" ht="15.75" thickBot="1" x14ac:dyDescent="0.3">
      <c r="A12" s="13" t="s">
        <v>24</v>
      </c>
      <c r="B12" s="4" t="s">
        <v>25</v>
      </c>
    </row>
    <row r="13" spans="1:7" ht="15.75" thickBot="1" x14ac:dyDescent="0.3">
      <c r="A13" s="13" t="s">
        <v>26</v>
      </c>
      <c r="B13" s="4" t="s">
        <v>27</v>
      </c>
    </row>
    <row r="14" spans="1:7" ht="15.75" thickBot="1" x14ac:dyDescent="0.3">
      <c r="A14" s="52" t="s">
        <v>28</v>
      </c>
      <c r="B14" s="53"/>
    </row>
    <row r="15" spans="1:7" ht="15.75" thickBot="1" x14ac:dyDescent="0.3">
      <c r="A15" s="13" t="s">
        <v>29</v>
      </c>
      <c r="B15" s="4">
        <v>3</v>
      </c>
    </row>
    <row r="16" spans="1:7" ht="15.75" thickBot="1" x14ac:dyDescent="0.3">
      <c r="A16" s="13" t="s">
        <v>30</v>
      </c>
      <c r="B16" s="4">
        <f>2^B15</f>
        <v>8</v>
      </c>
    </row>
    <row r="17" spans="1:5" ht="26.25" thickBot="1" x14ac:dyDescent="0.3">
      <c r="A17" s="13" t="s">
        <v>31</v>
      </c>
      <c r="B17" s="4">
        <v>5</v>
      </c>
      <c r="D17" s="1" t="s">
        <v>16</v>
      </c>
      <c r="E17" s="16" t="s">
        <v>43</v>
      </c>
    </row>
    <row r="18" spans="1:5" ht="15.75" thickBot="1" x14ac:dyDescent="0.3">
      <c r="A18" s="13" t="s">
        <v>32</v>
      </c>
      <c r="B18" s="4">
        <f>2^B17-2</f>
        <v>30</v>
      </c>
      <c r="D18" s="14">
        <f>_xlfn.BITAND(139,224)</f>
        <v>128</v>
      </c>
      <c r="E18" s="14">
        <f>_xlfn.BITOR(D18,31)</f>
        <v>159</v>
      </c>
    </row>
    <row r="19" spans="1:5" ht="15.75" thickBot="1" x14ac:dyDescent="0.3">
      <c r="A19" s="13" t="s">
        <v>33</v>
      </c>
      <c r="B19" s="4" t="s">
        <v>37</v>
      </c>
    </row>
    <row r="20" spans="1:5" ht="26.25" thickBot="1" x14ac:dyDescent="0.3">
      <c r="A20" s="13" t="s">
        <v>34</v>
      </c>
      <c r="B20" s="4" t="s">
        <v>38</v>
      </c>
    </row>
    <row r="21" spans="1:5" ht="26.25" thickBot="1" x14ac:dyDescent="0.3">
      <c r="A21" s="13" t="s">
        <v>35</v>
      </c>
      <c r="B21" s="4" t="s">
        <v>45</v>
      </c>
    </row>
    <row r="22" spans="1:5" ht="26.25" thickBot="1" x14ac:dyDescent="0.3">
      <c r="A22" s="13" t="s">
        <v>36</v>
      </c>
      <c r="B22" s="4" t="s">
        <v>46</v>
      </c>
    </row>
    <row r="24" spans="1:5" ht="15.75" thickBot="1" x14ac:dyDescent="0.3">
      <c r="A24" s="18" t="s">
        <v>57</v>
      </c>
    </row>
    <row r="25" spans="1:5" ht="15.75" thickBot="1" x14ac:dyDescent="0.3">
      <c r="A25" s="52" t="s">
        <v>21</v>
      </c>
      <c r="B25" s="53"/>
    </row>
    <row r="26" spans="1:5" ht="15.75" thickBot="1" x14ac:dyDescent="0.3">
      <c r="A26" s="13" t="s">
        <v>22</v>
      </c>
      <c r="B26" s="4" t="s">
        <v>47</v>
      </c>
    </row>
    <row r="27" spans="1:5" ht="15.75" thickBot="1" x14ac:dyDescent="0.3">
      <c r="A27" s="13" t="s">
        <v>24</v>
      </c>
      <c r="B27" s="4" t="s">
        <v>48</v>
      </c>
    </row>
    <row r="28" spans="1:5" ht="15.75" thickBot="1" x14ac:dyDescent="0.3">
      <c r="A28" s="13" t="s">
        <v>26</v>
      </c>
      <c r="B28" s="4" t="s">
        <v>49</v>
      </c>
    </row>
    <row r="29" spans="1:5" ht="15.75" thickBot="1" x14ac:dyDescent="0.3">
      <c r="A29" s="52" t="s">
        <v>28</v>
      </c>
      <c r="B29" s="53"/>
    </row>
    <row r="30" spans="1:5" ht="15.75" thickBot="1" x14ac:dyDescent="0.3">
      <c r="A30" s="13" t="s">
        <v>29</v>
      </c>
      <c r="B30" s="4">
        <v>9</v>
      </c>
    </row>
    <row r="31" spans="1:5" ht="15.75" thickBot="1" x14ac:dyDescent="0.3">
      <c r="A31" s="13" t="s">
        <v>30</v>
      </c>
      <c r="B31" s="4">
        <f>2^B30</f>
        <v>512</v>
      </c>
    </row>
    <row r="32" spans="1:5" ht="26.25" thickBot="1" x14ac:dyDescent="0.3">
      <c r="A32" s="13" t="s">
        <v>31</v>
      </c>
      <c r="B32" s="4">
        <v>15</v>
      </c>
    </row>
    <row r="33" spans="1:5" ht="15.75" thickBot="1" x14ac:dyDescent="0.3">
      <c r="A33" s="13" t="s">
        <v>32</v>
      </c>
      <c r="B33" s="4">
        <f>2^B32-2</f>
        <v>32766</v>
      </c>
      <c r="D33" s="1" t="s">
        <v>16</v>
      </c>
      <c r="E33" s="16" t="s">
        <v>43</v>
      </c>
    </row>
    <row r="34" spans="1:5" ht="15.75" thickBot="1" x14ac:dyDescent="0.3">
      <c r="A34" s="13" t="s">
        <v>33</v>
      </c>
      <c r="B34" s="4" t="s">
        <v>50</v>
      </c>
      <c r="D34" s="14">
        <f>_xlfn.BITAND(99,128)</f>
        <v>0</v>
      </c>
      <c r="E34" s="14">
        <f>_xlfn.BITOR(D34,127)</f>
        <v>127</v>
      </c>
    </row>
    <row r="35" spans="1:5" ht="26.25" thickBot="1" x14ac:dyDescent="0.3">
      <c r="A35" s="13" t="s">
        <v>34</v>
      </c>
      <c r="B35" s="4" t="s">
        <v>53</v>
      </c>
    </row>
    <row r="36" spans="1:5" ht="26.25" thickBot="1" x14ac:dyDescent="0.3">
      <c r="A36" s="13" t="s">
        <v>35</v>
      </c>
      <c r="B36" s="4" t="s">
        <v>52</v>
      </c>
    </row>
    <row r="37" spans="1:5" ht="26.25" thickBot="1" x14ac:dyDescent="0.3">
      <c r="A37" s="13" t="s">
        <v>36</v>
      </c>
      <c r="B37" s="4" t="s">
        <v>51</v>
      </c>
    </row>
    <row r="39" spans="1:5" ht="15.75" thickBot="1" x14ac:dyDescent="0.3">
      <c r="A39" s="18" t="s">
        <v>58</v>
      </c>
    </row>
    <row r="40" spans="1:5" ht="15.75" thickBot="1" x14ac:dyDescent="0.3">
      <c r="A40" s="52" t="s">
        <v>21</v>
      </c>
      <c r="B40" s="53"/>
    </row>
    <row r="41" spans="1:5" ht="15.75" thickBot="1" x14ac:dyDescent="0.3">
      <c r="A41" s="13" t="s">
        <v>22</v>
      </c>
      <c r="B41" s="4" t="s">
        <v>54</v>
      </c>
    </row>
    <row r="42" spans="1:5" ht="15.75" thickBot="1" x14ac:dyDescent="0.3">
      <c r="A42" s="13" t="s">
        <v>24</v>
      </c>
      <c r="B42" s="4" t="s">
        <v>55</v>
      </c>
    </row>
    <row r="43" spans="1:5" ht="15.75" thickBot="1" x14ac:dyDescent="0.3">
      <c r="A43" s="13" t="s">
        <v>26</v>
      </c>
      <c r="B43" s="4" t="s">
        <v>25</v>
      </c>
    </row>
    <row r="44" spans="1:5" ht="15.75" thickBot="1" x14ac:dyDescent="0.3">
      <c r="A44" s="52" t="s">
        <v>28</v>
      </c>
      <c r="B44" s="53"/>
    </row>
    <row r="45" spans="1:5" ht="15.75" thickBot="1" x14ac:dyDescent="0.3">
      <c r="A45" s="13" t="s">
        <v>29</v>
      </c>
      <c r="B45" s="4">
        <v>8</v>
      </c>
    </row>
    <row r="46" spans="1:5" ht="15.75" thickBot="1" x14ac:dyDescent="0.3">
      <c r="A46" s="13" t="s">
        <v>30</v>
      </c>
      <c r="B46" s="4">
        <f>2^B45</f>
        <v>256</v>
      </c>
    </row>
    <row r="47" spans="1:5" ht="26.25" thickBot="1" x14ac:dyDescent="0.3">
      <c r="A47" s="13" t="s">
        <v>31</v>
      </c>
      <c r="B47" s="4">
        <v>8</v>
      </c>
      <c r="D47" s="1" t="s">
        <v>16</v>
      </c>
      <c r="E47" s="16" t="s">
        <v>43</v>
      </c>
    </row>
    <row r="48" spans="1:5" ht="15.75" thickBot="1" x14ac:dyDescent="0.3">
      <c r="A48" s="13" t="s">
        <v>32</v>
      </c>
      <c r="B48" s="4">
        <f>2^B47-2</f>
        <v>254</v>
      </c>
      <c r="D48" s="14">
        <f>_xlfn.BITAND(55,0)</f>
        <v>0</v>
      </c>
      <c r="E48" s="14">
        <f>_xlfn.BITOR(D48,255)</f>
        <v>255</v>
      </c>
    </row>
    <row r="49" spans="1:5" ht="15.75" thickBot="1" x14ac:dyDescent="0.3">
      <c r="A49" s="13" t="s">
        <v>33</v>
      </c>
      <c r="B49" s="4" t="s">
        <v>60</v>
      </c>
    </row>
    <row r="50" spans="1:5" ht="26.25" thickBot="1" x14ac:dyDescent="0.3">
      <c r="A50" s="13" t="s">
        <v>34</v>
      </c>
      <c r="B50" s="4" t="s">
        <v>61</v>
      </c>
    </row>
    <row r="51" spans="1:5" ht="26.25" thickBot="1" x14ac:dyDescent="0.3">
      <c r="A51" s="13" t="s">
        <v>35</v>
      </c>
      <c r="B51" s="4" t="s">
        <v>62</v>
      </c>
    </row>
    <row r="52" spans="1:5" ht="26.25" thickBot="1" x14ac:dyDescent="0.3">
      <c r="A52" s="13" t="s">
        <v>36</v>
      </c>
      <c r="B52" s="4" t="s">
        <v>63</v>
      </c>
    </row>
    <row r="54" spans="1:5" ht="15.75" thickBot="1" x14ac:dyDescent="0.3">
      <c r="A54" s="18" t="s">
        <v>59</v>
      </c>
    </row>
    <row r="55" spans="1:5" ht="15.75" thickBot="1" x14ac:dyDescent="0.3">
      <c r="A55" s="52" t="s">
        <v>21</v>
      </c>
      <c r="B55" s="53"/>
    </row>
    <row r="56" spans="1:5" ht="15.75" thickBot="1" x14ac:dyDescent="0.3">
      <c r="A56" s="13" t="s">
        <v>22</v>
      </c>
      <c r="B56" s="4" t="s">
        <v>64</v>
      </c>
    </row>
    <row r="57" spans="1:5" ht="15.75" thickBot="1" x14ac:dyDescent="0.3">
      <c r="A57" s="13" t="s">
        <v>24</v>
      </c>
      <c r="B57" s="4" t="s">
        <v>25</v>
      </c>
    </row>
    <row r="58" spans="1:5" ht="15.75" thickBot="1" x14ac:dyDescent="0.3">
      <c r="A58" s="13" t="s">
        <v>26</v>
      </c>
      <c r="B58" s="4" t="s">
        <v>65</v>
      </c>
    </row>
    <row r="59" spans="1:5" ht="15.75" thickBot="1" x14ac:dyDescent="0.3">
      <c r="A59" s="52" t="s">
        <v>28</v>
      </c>
      <c r="B59" s="53"/>
    </row>
    <row r="60" spans="1:5" ht="15.75" thickBot="1" x14ac:dyDescent="0.3">
      <c r="A60" s="13" t="s">
        <v>29</v>
      </c>
      <c r="B60" s="4">
        <v>5</v>
      </c>
    </row>
    <row r="61" spans="1:5" ht="15.75" thickBot="1" x14ac:dyDescent="0.3">
      <c r="A61" s="13" t="s">
        <v>30</v>
      </c>
      <c r="B61" s="4">
        <f>2^B60</f>
        <v>32</v>
      </c>
    </row>
    <row r="62" spans="1:5" ht="26.25" thickBot="1" x14ac:dyDescent="0.3">
      <c r="A62" s="13" t="s">
        <v>31</v>
      </c>
      <c r="B62" s="4">
        <v>3</v>
      </c>
      <c r="D62" s="1" t="s">
        <v>16</v>
      </c>
      <c r="E62" s="16" t="s">
        <v>43</v>
      </c>
    </row>
    <row r="63" spans="1:5" ht="15.75" thickBot="1" x14ac:dyDescent="0.3">
      <c r="A63" s="13" t="s">
        <v>32</v>
      </c>
      <c r="B63" s="4">
        <f>2^B62-2</f>
        <v>6</v>
      </c>
      <c r="D63" s="14">
        <f>_xlfn.BITAND(180,248)</f>
        <v>176</v>
      </c>
      <c r="E63" s="14">
        <f>_xlfn.BITOR(D63,7)</f>
        <v>183</v>
      </c>
    </row>
    <row r="64" spans="1:5" ht="15.75" thickBot="1" x14ac:dyDescent="0.3">
      <c r="A64" s="13" t="s">
        <v>33</v>
      </c>
      <c r="B64" s="4" t="s">
        <v>66</v>
      </c>
    </row>
    <row r="65" spans="1:2" ht="26.25" thickBot="1" x14ac:dyDescent="0.3">
      <c r="A65" s="13" t="s">
        <v>34</v>
      </c>
      <c r="B65" s="4" t="s">
        <v>67</v>
      </c>
    </row>
    <row r="66" spans="1:2" ht="26.25" thickBot="1" x14ac:dyDescent="0.3">
      <c r="A66" s="13" t="s">
        <v>35</v>
      </c>
      <c r="B66" s="4" t="s">
        <v>69</v>
      </c>
    </row>
    <row r="67" spans="1:2" ht="26.25" thickBot="1" x14ac:dyDescent="0.3">
      <c r="A67" s="13" t="s">
        <v>36</v>
      </c>
      <c r="B67" s="4" t="s">
        <v>68</v>
      </c>
    </row>
  </sheetData>
  <mergeCells count="8">
    <mergeCell ref="A40:B40"/>
    <mergeCell ref="A44:B44"/>
    <mergeCell ref="A55:B55"/>
    <mergeCell ref="A59:B59"/>
    <mergeCell ref="A10:B10"/>
    <mergeCell ref="A14:B14"/>
    <mergeCell ref="A25:B25"/>
    <mergeCell ref="A29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A3A2-5E7B-4737-A366-55E40A95E1EA}">
  <dimension ref="B1:O140"/>
  <sheetViews>
    <sheetView topLeftCell="A77" workbookViewId="0">
      <selection activeCell="D35" sqref="D35"/>
    </sheetView>
  </sheetViews>
  <sheetFormatPr defaultRowHeight="15" x14ac:dyDescent="0.25"/>
  <cols>
    <col min="4" max="4" width="15.28515625" customWidth="1"/>
    <col min="5" max="5" width="14.5703125" customWidth="1"/>
    <col min="6" max="6" width="16" customWidth="1"/>
    <col min="7" max="7" width="21.7109375" customWidth="1"/>
  </cols>
  <sheetData>
    <row r="1" spans="2:13" x14ac:dyDescent="0.25">
      <c r="B1" s="54" t="s">
        <v>109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2:13" x14ac:dyDescent="0.25"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2:13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2:13" x14ac:dyDescent="0.25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2:13" x14ac:dyDescent="0.25"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r="6" spans="2:13" x14ac:dyDescent="0.25"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</row>
    <row r="7" spans="2:13" x14ac:dyDescent="0.25"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</row>
    <row r="8" spans="2:13" x14ac:dyDescent="0.25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26" spans="3:15" x14ac:dyDescent="0.25">
      <c r="C26" s="19" t="s">
        <v>70</v>
      </c>
    </row>
    <row r="27" spans="3:15" x14ac:dyDescent="0.25">
      <c r="C27" s="56" t="s">
        <v>107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</row>
    <row r="28" spans="3:15" x14ac:dyDescent="0.25">
      <c r="C28" s="56" t="s">
        <v>108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</row>
    <row r="29" spans="3:15" x14ac:dyDescent="0.25">
      <c r="C29" s="56" t="s">
        <v>114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</row>
    <row r="30" spans="3:15" x14ac:dyDescent="0.25">
      <c r="C30" s="56" t="s">
        <v>110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</row>
    <row r="31" spans="3:15" x14ac:dyDescent="0.25">
      <c r="C31" s="56" t="s">
        <v>111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</row>
    <row r="32" spans="3:15" x14ac:dyDescent="0.25">
      <c r="C32" s="19" t="s">
        <v>71</v>
      </c>
    </row>
    <row r="33" spans="3:7" ht="15.75" thickBot="1" x14ac:dyDescent="0.3">
      <c r="C33" s="20" t="s">
        <v>72</v>
      </c>
    </row>
    <row r="34" spans="3:7" ht="39" thickBot="1" x14ac:dyDescent="0.3">
      <c r="C34" s="1" t="s">
        <v>73</v>
      </c>
      <c r="D34" s="2" t="s">
        <v>74</v>
      </c>
      <c r="E34" s="2" t="s">
        <v>75</v>
      </c>
      <c r="F34" s="2" t="s">
        <v>76</v>
      </c>
      <c r="G34" s="2" t="s">
        <v>2</v>
      </c>
    </row>
    <row r="35" spans="3:7" ht="15.75" thickBot="1" x14ac:dyDescent="0.3">
      <c r="C35" s="8">
        <v>0</v>
      </c>
      <c r="D35" s="4" t="s">
        <v>112</v>
      </c>
      <c r="E35" s="4" t="s">
        <v>84</v>
      </c>
      <c r="F35" s="4" t="s">
        <v>115</v>
      </c>
      <c r="G35" s="4" t="s">
        <v>126</v>
      </c>
    </row>
    <row r="36" spans="3:7" ht="15.75" thickBot="1" x14ac:dyDescent="0.3">
      <c r="C36" s="8">
        <v>1</v>
      </c>
      <c r="D36" s="4" t="s">
        <v>116</v>
      </c>
      <c r="E36" s="4" t="s">
        <v>87</v>
      </c>
      <c r="F36" s="4" t="s">
        <v>127</v>
      </c>
      <c r="G36" s="4" t="s">
        <v>128</v>
      </c>
    </row>
    <row r="37" spans="3:7" ht="15.75" thickBot="1" x14ac:dyDescent="0.3">
      <c r="C37" s="8">
        <v>2</v>
      </c>
      <c r="D37" s="4" t="s">
        <v>117</v>
      </c>
      <c r="E37" s="4" t="s">
        <v>89</v>
      </c>
      <c r="F37" s="4" t="s">
        <v>129</v>
      </c>
      <c r="G37" s="4" t="s">
        <v>134</v>
      </c>
    </row>
    <row r="38" spans="3:7" ht="15.75" thickBot="1" x14ac:dyDescent="0.3">
      <c r="C38" s="8">
        <v>3</v>
      </c>
      <c r="D38" s="4" t="s">
        <v>118</v>
      </c>
      <c r="E38" s="4" t="s">
        <v>91</v>
      </c>
      <c r="F38" s="4" t="s">
        <v>113</v>
      </c>
      <c r="G38" s="4" t="s">
        <v>135</v>
      </c>
    </row>
    <row r="39" spans="3:7" ht="15.75" thickBot="1" x14ac:dyDescent="0.3">
      <c r="C39" s="8">
        <v>4</v>
      </c>
      <c r="D39" s="4" t="s">
        <v>119</v>
      </c>
      <c r="E39" s="4" t="s">
        <v>92</v>
      </c>
      <c r="F39" s="4" t="s">
        <v>130</v>
      </c>
      <c r="G39" s="4" t="s">
        <v>136</v>
      </c>
    </row>
    <row r="40" spans="3:7" ht="15.75" thickBot="1" x14ac:dyDescent="0.3">
      <c r="C40" s="8">
        <v>5</v>
      </c>
      <c r="D40" s="4" t="s">
        <v>120</v>
      </c>
      <c r="E40" s="4" t="s">
        <v>123</v>
      </c>
      <c r="F40" s="4" t="s">
        <v>131</v>
      </c>
      <c r="G40" s="4" t="s">
        <v>137</v>
      </c>
    </row>
    <row r="41" spans="3:7" ht="15.75" thickBot="1" x14ac:dyDescent="0.3">
      <c r="C41" s="8">
        <v>6</v>
      </c>
      <c r="D41" s="4" t="s">
        <v>121</v>
      </c>
      <c r="E41" s="4" t="s">
        <v>124</v>
      </c>
      <c r="F41" s="4" t="s">
        <v>132</v>
      </c>
      <c r="G41" s="4" t="s">
        <v>138</v>
      </c>
    </row>
    <row r="42" spans="3:7" ht="15.75" thickBot="1" x14ac:dyDescent="0.3">
      <c r="C42" s="8">
        <v>7</v>
      </c>
      <c r="D42" s="4" t="s">
        <v>122</v>
      </c>
      <c r="E42" s="4" t="s">
        <v>125</v>
      </c>
      <c r="F42" s="4" t="s">
        <v>133</v>
      </c>
      <c r="G42" s="4" t="s">
        <v>139</v>
      </c>
    </row>
    <row r="43" spans="3:7" ht="15.75" thickBot="1" x14ac:dyDescent="0.3">
      <c r="C43" s="8">
        <v>8</v>
      </c>
      <c r="D43" s="4"/>
      <c r="E43" s="4"/>
      <c r="F43" s="4"/>
      <c r="G43" s="4"/>
    </row>
    <row r="44" spans="3:7" ht="15.75" thickBot="1" x14ac:dyDescent="0.3">
      <c r="C44" s="8">
        <v>9</v>
      </c>
      <c r="D44" s="4"/>
      <c r="E44" s="4"/>
      <c r="F44" s="4"/>
      <c r="G44" s="4"/>
    </row>
    <row r="45" spans="3:7" ht="15.75" thickBot="1" x14ac:dyDescent="0.3">
      <c r="C45" s="8">
        <v>10</v>
      </c>
      <c r="D45" s="4"/>
      <c r="E45" s="4"/>
      <c r="F45" s="4"/>
      <c r="G45" s="4"/>
    </row>
    <row r="48" spans="3:7" x14ac:dyDescent="0.25">
      <c r="C48" s="19" t="s">
        <v>106</v>
      </c>
    </row>
    <row r="49" spans="3:13" x14ac:dyDescent="0.25">
      <c r="C49" s="57" t="s">
        <v>77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</row>
    <row r="50" spans="3:13" ht="15.75" thickBot="1" x14ac:dyDescent="0.3">
      <c r="C50" s="21"/>
    </row>
    <row r="51" spans="3:13" ht="26.25" thickBot="1" x14ac:dyDescent="0.3">
      <c r="C51" s="1" t="s">
        <v>78</v>
      </c>
      <c r="D51" s="2" t="s">
        <v>79</v>
      </c>
      <c r="E51" s="2" t="s">
        <v>80</v>
      </c>
      <c r="F51" s="2" t="s">
        <v>81</v>
      </c>
    </row>
    <row r="52" spans="3:13" ht="26.25" thickBot="1" x14ac:dyDescent="0.3">
      <c r="C52" s="3" t="s">
        <v>82</v>
      </c>
      <c r="D52" s="4" t="s">
        <v>83</v>
      </c>
      <c r="E52" s="4" t="s">
        <v>84</v>
      </c>
      <c r="F52" s="7" t="s">
        <v>27</v>
      </c>
    </row>
    <row r="53" spans="3:13" ht="15.75" thickBot="1" x14ac:dyDescent="0.3">
      <c r="C53" s="3"/>
      <c r="D53" s="4" t="s">
        <v>85</v>
      </c>
      <c r="E53" s="4" t="s">
        <v>87</v>
      </c>
      <c r="F53" s="7" t="s">
        <v>27</v>
      </c>
    </row>
    <row r="54" spans="3:13" ht="15.75" thickBot="1" x14ac:dyDescent="0.3">
      <c r="C54" s="3"/>
      <c r="D54" s="4" t="s">
        <v>86</v>
      </c>
      <c r="E54" s="4" t="s">
        <v>89</v>
      </c>
      <c r="F54" s="7" t="s">
        <v>27</v>
      </c>
    </row>
    <row r="55" spans="3:13" ht="26.25" thickBot="1" x14ac:dyDescent="0.3">
      <c r="C55" s="3" t="s">
        <v>88</v>
      </c>
      <c r="D55" s="4" t="s">
        <v>83</v>
      </c>
      <c r="E55" s="4" t="s">
        <v>91</v>
      </c>
      <c r="F55" s="7" t="s">
        <v>27</v>
      </c>
    </row>
    <row r="56" spans="3:13" ht="15.75" thickBot="1" x14ac:dyDescent="0.3">
      <c r="C56" s="3"/>
      <c r="D56" s="4" t="s">
        <v>85</v>
      </c>
      <c r="E56" s="4" t="s">
        <v>216</v>
      </c>
      <c r="F56" s="7" t="s">
        <v>27</v>
      </c>
    </row>
    <row r="57" spans="3:13" ht="15.75" thickBot="1" x14ac:dyDescent="0.3">
      <c r="C57" s="3"/>
      <c r="D57" s="4" t="s">
        <v>86</v>
      </c>
      <c r="E57" s="4" t="s">
        <v>92</v>
      </c>
      <c r="F57" s="7" t="s">
        <v>27</v>
      </c>
    </row>
    <row r="58" spans="3:13" ht="26.25" thickBot="1" x14ac:dyDescent="0.3">
      <c r="C58" s="3" t="s">
        <v>90</v>
      </c>
      <c r="D58" s="4" t="s">
        <v>83</v>
      </c>
      <c r="E58" s="4" t="s">
        <v>123</v>
      </c>
      <c r="F58" s="7" t="s">
        <v>27</v>
      </c>
    </row>
    <row r="59" spans="3:13" ht="15.75" thickBot="1" x14ac:dyDescent="0.3">
      <c r="C59" s="3"/>
      <c r="D59" s="4" t="s">
        <v>85</v>
      </c>
      <c r="E59" s="4" t="s">
        <v>217</v>
      </c>
      <c r="F59" s="7" t="s">
        <v>27</v>
      </c>
    </row>
    <row r="60" spans="3:13" ht="15.75" thickBot="1" x14ac:dyDescent="0.3">
      <c r="C60" s="3"/>
      <c r="D60" s="4" t="s">
        <v>86</v>
      </c>
      <c r="E60" s="4" t="s">
        <v>218</v>
      </c>
      <c r="F60" s="7" t="s">
        <v>27</v>
      </c>
    </row>
    <row r="61" spans="3:13" x14ac:dyDescent="0.25">
      <c r="C61" s="57" t="s">
        <v>93</v>
      </c>
      <c r="D61" s="57"/>
      <c r="E61" s="57"/>
      <c r="F61" s="57"/>
      <c r="G61" s="57"/>
      <c r="H61" s="57"/>
      <c r="I61" s="57"/>
      <c r="J61" s="57"/>
      <c r="K61" s="57"/>
      <c r="L61" s="57"/>
    </row>
    <row r="62" spans="3:13" ht="15.75" thickBot="1" x14ac:dyDescent="0.3">
      <c r="C62" s="21"/>
    </row>
    <row r="63" spans="3:13" ht="26.25" thickBot="1" x14ac:dyDescent="0.3">
      <c r="C63" s="1" t="s">
        <v>78</v>
      </c>
      <c r="D63" s="2" t="s">
        <v>79</v>
      </c>
      <c r="E63" s="2" t="s">
        <v>80</v>
      </c>
      <c r="F63" s="2" t="s">
        <v>81</v>
      </c>
      <c r="G63" s="2" t="s">
        <v>94</v>
      </c>
    </row>
    <row r="64" spans="3:13" ht="26.25" thickBot="1" x14ac:dyDescent="0.3">
      <c r="C64" s="3" t="s">
        <v>95</v>
      </c>
      <c r="D64" s="4" t="s">
        <v>96</v>
      </c>
      <c r="E64" s="7" t="s">
        <v>141</v>
      </c>
      <c r="F64" s="7" t="s">
        <v>27</v>
      </c>
      <c r="G64" s="4" t="s">
        <v>84</v>
      </c>
    </row>
    <row r="65" spans="2:10" ht="26.25" thickBot="1" x14ac:dyDescent="0.3">
      <c r="C65" s="3" t="s">
        <v>97</v>
      </c>
      <c r="D65" s="4" t="s">
        <v>96</v>
      </c>
      <c r="E65" s="7" t="s">
        <v>142</v>
      </c>
      <c r="F65" s="7" t="s">
        <v>27</v>
      </c>
      <c r="G65" s="4" t="s">
        <v>84</v>
      </c>
    </row>
    <row r="66" spans="2:10" ht="15.75" thickBot="1" x14ac:dyDescent="0.3">
      <c r="C66" s="3" t="s">
        <v>98</v>
      </c>
      <c r="D66" s="4" t="s">
        <v>99</v>
      </c>
      <c r="E66" s="7" t="s">
        <v>140</v>
      </c>
      <c r="F66" s="7" t="s">
        <v>27</v>
      </c>
      <c r="G66" s="4" t="s">
        <v>84</v>
      </c>
    </row>
    <row r="67" spans="2:10" ht="26.25" thickBot="1" x14ac:dyDescent="0.3">
      <c r="C67" s="3" t="s">
        <v>100</v>
      </c>
      <c r="D67" s="4" t="s">
        <v>96</v>
      </c>
      <c r="E67" s="4" t="s">
        <v>144</v>
      </c>
      <c r="F67" s="7" t="s">
        <v>27</v>
      </c>
      <c r="G67" s="4" t="s">
        <v>91</v>
      </c>
    </row>
    <row r="68" spans="2:10" ht="26.25" thickBot="1" x14ac:dyDescent="0.3">
      <c r="C68" s="3" t="s">
        <v>101</v>
      </c>
      <c r="D68" s="4" t="s">
        <v>96</v>
      </c>
      <c r="E68" s="4" t="s">
        <v>145</v>
      </c>
      <c r="F68" s="7" t="s">
        <v>27</v>
      </c>
      <c r="G68" s="4" t="s">
        <v>91</v>
      </c>
    </row>
    <row r="69" spans="2:10" ht="15.75" thickBot="1" x14ac:dyDescent="0.3">
      <c r="C69" s="3" t="s">
        <v>102</v>
      </c>
      <c r="D69" s="4" t="s">
        <v>99</v>
      </c>
      <c r="E69" s="4" t="s">
        <v>143</v>
      </c>
      <c r="F69" s="7" t="s">
        <v>27</v>
      </c>
      <c r="G69" s="4" t="s">
        <v>91</v>
      </c>
    </row>
    <row r="70" spans="2:10" ht="26.25" thickBot="1" x14ac:dyDescent="0.3">
      <c r="C70" s="3" t="s">
        <v>103</v>
      </c>
      <c r="D70" s="4" t="s">
        <v>96</v>
      </c>
      <c r="E70" s="4" t="s">
        <v>220</v>
      </c>
      <c r="F70" s="7" t="s">
        <v>27</v>
      </c>
      <c r="G70" s="4" t="s">
        <v>123</v>
      </c>
    </row>
    <row r="71" spans="2:10" ht="26.25" thickBot="1" x14ac:dyDescent="0.3">
      <c r="C71" s="3" t="s">
        <v>104</v>
      </c>
      <c r="D71" s="4" t="s">
        <v>96</v>
      </c>
      <c r="E71" s="4" t="s">
        <v>221</v>
      </c>
      <c r="F71" s="7" t="s">
        <v>27</v>
      </c>
      <c r="G71" s="4" t="s">
        <v>123</v>
      </c>
    </row>
    <row r="72" spans="2:10" ht="15.75" thickBot="1" x14ac:dyDescent="0.3">
      <c r="C72" s="3" t="s">
        <v>105</v>
      </c>
      <c r="D72" s="4" t="s">
        <v>99</v>
      </c>
      <c r="E72" s="4" t="s">
        <v>219</v>
      </c>
      <c r="F72" s="7" t="s">
        <v>27</v>
      </c>
      <c r="G72" s="4" t="s">
        <v>123</v>
      </c>
    </row>
    <row r="76" spans="2:10" ht="15" customHeight="1" x14ac:dyDescent="0.25">
      <c r="B76" s="58" t="s">
        <v>148</v>
      </c>
      <c r="C76" s="58"/>
      <c r="D76" s="58"/>
      <c r="E76" s="58"/>
      <c r="F76" s="58"/>
      <c r="G76" s="58"/>
      <c r="H76" s="58"/>
      <c r="I76" s="58"/>
      <c r="J76" s="58"/>
    </row>
    <row r="77" spans="2:10" x14ac:dyDescent="0.25">
      <c r="B77" s="58"/>
      <c r="C77" s="58"/>
      <c r="D77" s="58"/>
      <c r="E77" s="58"/>
      <c r="F77" s="58"/>
      <c r="G77" s="58"/>
      <c r="H77" s="58"/>
      <c r="I77" s="58"/>
      <c r="J77" s="58"/>
    </row>
    <row r="78" spans="2:10" x14ac:dyDescent="0.25">
      <c r="B78" s="58"/>
      <c r="C78" s="58"/>
      <c r="D78" s="58"/>
      <c r="E78" s="58"/>
      <c r="F78" s="58"/>
      <c r="G78" s="58"/>
      <c r="H78" s="58"/>
      <c r="I78" s="58"/>
      <c r="J78" s="58"/>
    </row>
    <row r="79" spans="2:10" x14ac:dyDescent="0.25">
      <c r="B79" s="58"/>
      <c r="C79" s="58"/>
      <c r="D79" s="58"/>
      <c r="E79" s="58"/>
      <c r="F79" s="58"/>
      <c r="G79" s="58"/>
      <c r="H79" s="58"/>
      <c r="I79" s="58"/>
      <c r="J79" s="58"/>
    </row>
    <row r="80" spans="2:10" x14ac:dyDescent="0.25">
      <c r="B80" s="58"/>
      <c r="C80" s="58"/>
      <c r="D80" s="58"/>
      <c r="E80" s="58"/>
      <c r="F80" s="58"/>
      <c r="G80" s="58"/>
      <c r="H80" s="58"/>
      <c r="I80" s="58"/>
      <c r="J80" s="58"/>
    </row>
    <row r="81" spans="2:10" x14ac:dyDescent="0.25">
      <c r="B81" s="58"/>
      <c r="C81" s="58"/>
      <c r="D81" s="58"/>
      <c r="E81" s="58"/>
      <c r="F81" s="58"/>
      <c r="G81" s="58"/>
      <c r="H81" s="58"/>
      <c r="I81" s="58"/>
      <c r="J81" s="58"/>
    </row>
    <row r="98" spans="2:11" x14ac:dyDescent="0.25">
      <c r="B98" s="19" t="s">
        <v>146</v>
      </c>
    </row>
    <row r="99" spans="2:11" x14ac:dyDescent="0.25">
      <c r="B99" s="56" t="s">
        <v>149</v>
      </c>
      <c r="C99" s="56"/>
      <c r="D99" s="56"/>
      <c r="E99" s="56"/>
      <c r="F99" s="56"/>
      <c r="G99" s="56"/>
      <c r="H99" s="56"/>
      <c r="I99" s="56"/>
      <c r="J99" s="56"/>
      <c r="K99" s="56"/>
    </row>
    <row r="100" spans="2:11" x14ac:dyDescent="0.25">
      <c r="B100" s="56" t="s">
        <v>150</v>
      </c>
      <c r="C100" s="56"/>
      <c r="D100" s="56"/>
      <c r="E100" s="56"/>
      <c r="F100" s="56"/>
      <c r="G100" s="56"/>
      <c r="H100" s="56"/>
      <c r="I100" s="56"/>
      <c r="J100" s="56"/>
      <c r="K100" s="56"/>
    </row>
    <row r="101" spans="2:11" x14ac:dyDescent="0.25">
      <c r="B101" s="56" t="s">
        <v>151</v>
      </c>
      <c r="C101" s="56"/>
      <c r="D101" s="56"/>
      <c r="E101" s="56"/>
      <c r="F101" s="56"/>
      <c r="G101" s="56"/>
      <c r="H101" s="56"/>
      <c r="I101" s="56"/>
      <c r="J101" s="56"/>
      <c r="K101" s="56"/>
    </row>
    <row r="102" spans="2:11" x14ac:dyDescent="0.25">
      <c r="B102" s="56" t="s">
        <v>155</v>
      </c>
      <c r="C102" s="56"/>
      <c r="D102" s="56"/>
      <c r="E102" s="56"/>
      <c r="F102" s="56"/>
      <c r="G102" s="56"/>
      <c r="H102" s="56"/>
      <c r="I102" s="56"/>
      <c r="J102" s="56"/>
      <c r="K102" s="56"/>
    </row>
    <row r="103" spans="2:11" x14ac:dyDescent="0.25">
      <c r="B103" s="56" t="s">
        <v>152</v>
      </c>
      <c r="C103" s="56"/>
      <c r="D103" s="56"/>
      <c r="E103" s="56"/>
      <c r="F103" s="56"/>
      <c r="G103" s="56"/>
      <c r="H103" s="56"/>
      <c r="I103" s="56"/>
      <c r="J103" s="56"/>
      <c r="K103" s="56"/>
    </row>
    <row r="104" spans="2:11" x14ac:dyDescent="0.25">
      <c r="B104" s="19" t="s">
        <v>71</v>
      </c>
    </row>
    <row r="105" spans="2:11" ht="15.75" thickBot="1" x14ac:dyDescent="0.3">
      <c r="B105" s="59" t="s">
        <v>72</v>
      </c>
      <c r="C105" s="59"/>
      <c r="D105" s="59"/>
      <c r="E105" s="59"/>
      <c r="F105" s="59"/>
    </row>
    <row r="106" spans="2:11" ht="39" thickBot="1" x14ac:dyDescent="0.3">
      <c r="C106" s="1" t="s">
        <v>73</v>
      </c>
      <c r="D106" s="2" t="s">
        <v>74</v>
      </c>
      <c r="E106" s="2" t="s">
        <v>75</v>
      </c>
      <c r="F106" s="2" t="s">
        <v>76</v>
      </c>
      <c r="G106" s="2" t="s">
        <v>2</v>
      </c>
    </row>
    <row r="107" spans="2:11" ht="15.75" thickBot="1" x14ac:dyDescent="0.3">
      <c r="C107" s="8">
        <v>0</v>
      </c>
      <c r="D107" s="4" t="s">
        <v>153</v>
      </c>
      <c r="E107" s="4" t="s">
        <v>154</v>
      </c>
      <c r="F107" s="4" t="s">
        <v>186</v>
      </c>
      <c r="G107" s="4" t="s">
        <v>13</v>
      </c>
    </row>
    <row r="108" spans="2:11" ht="15.75" thickBot="1" x14ac:dyDescent="0.3">
      <c r="C108" s="8">
        <v>1</v>
      </c>
      <c r="D108" s="4" t="s">
        <v>156</v>
      </c>
      <c r="E108" s="4" t="s">
        <v>167</v>
      </c>
      <c r="F108" s="4" t="s">
        <v>201</v>
      </c>
      <c r="G108" s="4" t="s">
        <v>187</v>
      </c>
    </row>
    <row r="109" spans="2:11" ht="15.75" thickBot="1" x14ac:dyDescent="0.3">
      <c r="C109" s="8">
        <v>2</v>
      </c>
      <c r="D109" s="4" t="s">
        <v>157</v>
      </c>
      <c r="E109" s="4" t="s">
        <v>173</v>
      </c>
      <c r="F109" s="4" t="s">
        <v>202</v>
      </c>
      <c r="G109" s="4" t="s">
        <v>188</v>
      </c>
    </row>
    <row r="110" spans="2:11" ht="15.75" thickBot="1" x14ac:dyDescent="0.3">
      <c r="C110" s="8">
        <v>3</v>
      </c>
      <c r="D110" s="4" t="s">
        <v>158</v>
      </c>
      <c r="E110" s="4" t="s">
        <v>174</v>
      </c>
      <c r="F110" s="4" t="s">
        <v>203</v>
      </c>
      <c r="G110" s="4" t="s">
        <v>189</v>
      </c>
    </row>
    <row r="111" spans="2:11" ht="15.75" thickBot="1" x14ac:dyDescent="0.3">
      <c r="C111" s="8">
        <v>4</v>
      </c>
      <c r="D111" s="4" t="s">
        <v>159</v>
      </c>
      <c r="E111" s="4" t="s">
        <v>175</v>
      </c>
      <c r="F111" s="4" t="s">
        <v>204</v>
      </c>
      <c r="G111" s="4" t="s">
        <v>190</v>
      </c>
    </row>
    <row r="112" spans="2:11" ht="15.75" thickBot="1" x14ac:dyDescent="0.3">
      <c r="C112" s="8">
        <v>5</v>
      </c>
      <c r="D112" s="4" t="s">
        <v>160</v>
      </c>
      <c r="E112" s="4" t="s">
        <v>176</v>
      </c>
      <c r="F112" s="4" t="s">
        <v>205</v>
      </c>
      <c r="G112" s="4" t="s">
        <v>191</v>
      </c>
    </row>
    <row r="113" spans="2:8" ht="15.75" thickBot="1" x14ac:dyDescent="0.3">
      <c r="C113" s="8">
        <v>6</v>
      </c>
      <c r="D113" s="4" t="s">
        <v>168</v>
      </c>
      <c r="E113" s="4" t="s">
        <v>177</v>
      </c>
      <c r="F113" s="4" t="s">
        <v>206</v>
      </c>
      <c r="G113" s="4" t="s">
        <v>192</v>
      </c>
    </row>
    <row r="114" spans="2:8" ht="15.75" thickBot="1" x14ac:dyDescent="0.3">
      <c r="C114" s="8">
        <v>7</v>
      </c>
      <c r="D114" s="4" t="s">
        <v>169</v>
      </c>
      <c r="E114" s="4" t="s">
        <v>178</v>
      </c>
      <c r="F114" s="4" t="s">
        <v>207</v>
      </c>
      <c r="G114" s="4" t="s">
        <v>193</v>
      </c>
    </row>
    <row r="115" spans="2:8" ht="15.75" thickBot="1" x14ac:dyDescent="0.3">
      <c r="C115" s="8">
        <v>8</v>
      </c>
      <c r="D115" s="4" t="s">
        <v>161</v>
      </c>
      <c r="E115" s="4" t="s">
        <v>162</v>
      </c>
      <c r="F115" s="4" t="s">
        <v>208</v>
      </c>
      <c r="G115" s="4" t="s">
        <v>194</v>
      </c>
    </row>
    <row r="116" spans="2:8" ht="15.75" thickBot="1" x14ac:dyDescent="0.3">
      <c r="C116" s="8">
        <v>9</v>
      </c>
      <c r="D116" s="4" t="s">
        <v>163</v>
      </c>
      <c r="E116" s="4" t="s">
        <v>164</v>
      </c>
      <c r="F116" s="4" t="s">
        <v>209</v>
      </c>
      <c r="G116" s="4" t="s">
        <v>195</v>
      </c>
    </row>
    <row r="117" spans="2:8" ht="15.75" thickBot="1" x14ac:dyDescent="0.3">
      <c r="C117" s="8">
        <v>10</v>
      </c>
      <c r="D117" s="4" t="s">
        <v>165</v>
      </c>
      <c r="E117" s="4" t="s">
        <v>179</v>
      </c>
      <c r="F117" s="4" t="s">
        <v>210</v>
      </c>
      <c r="G117" s="4" t="s">
        <v>196</v>
      </c>
    </row>
    <row r="118" spans="2:8" ht="15.75" thickBot="1" x14ac:dyDescent="0.3">
      <c r="C118" s="8">
        <v>11</v>
      </c>
      <c r="D118" s="4" t="s">
        <v>166</v>
      </c>
      <c r="E118" s="4" t="s">
        <v>180</v>
      </c>
      <c r="F118" s="4" t="s">
        <v>211</v>
      </c>
      <c r="G118" s="4" t="s">
        <v>197</v>
      </c>
    </row>
    <row r="119" spans="2:8" ht="15.75" thickBot="1" x14ac:dyDescent="0.3">
      <c r="C119" s="8">
        <v>12</v>
      </c>
      <c r="D119" s="4" t="s">
        <v>12</v>
      </c>
      <c r="E119" s="4" t="s">
        <v>181</v>
      </c>
      <c r="F119" s="4" t="s">
        <v>212</v>
      </c>
      <c r="G119" s="4" t="s">
        <v>198</v>
      </c>
    </row>
    <row r="120" spans="2:8" ht="15.75" thickBot="1" x14ac:dyDescent="0.3">
      <c r="C120" s="8">
        <v>13</v>
      </c>
      <c r="D120" s="4" t="s">
        <v>170</v>
      </c>
      <c r="E120" s="4" t="s">
        <v>182</v>
      </c>
      <c r="F120" s="4" t="s">
        <v>213</v>
      </c>
      <c r="G120" s="4" t="s">
        <v>199</v>
      </c>
    </row>
    <row r="121" spans="2:8" ht="15.75" thickBot="1" x14ac:dyDescent="0.3">
      <c r="C121" s="8">
        <v>14</v>
      </c>
      <c r="D121" s="4" t="s">
        <v>171</v>
      </c>
      <c r="E121" s="4" t="s">
        <v>183</v>
      </c>
      <c r="F121" s="4" t="s">
        <v>214</v>
      </c>
      <c r="G121" s="4" t="s">
        <v>200</v>
      </c>
    </row>
    <row r="122" spans="2:8" ht="15.75" thickBot="1" x14ac:dyDescent="0.3">
      <c r="C122" s="8">
        <v>15</v>
      </c>
      <c r="D122" s="4" t="s">
        <v>172</v>
      </c>
      <c r="E122" s="4" t="s">
        <v>184</v>
      </c>
      <c r="F122" s="4" t="s">
        <v>186</v>
      </c>
      <c r="G122" s="4" t="s">
        <v>13</v>
      </c>
    </row>
    <row r="123" spans="2:8" ht="15.75" thickBot="1" x14ac:dyDescent="0.3">
      <c r="C123" s="8">
        <v>16</v>
      </c>
      <c r="D123" s="4"/>
      <c r="E123" s="4"/>
      <c r="F123" s="4"/>
      <c r="G123" s="4"/>
    </row>
    <row r="124" spans="2:8" ht="15.75" thickBot="1" x14ac:dyDescent="0.3">
      <c r="C124" s="8">
        <v>17</v>
      </c>
      <c r="D124" s="4"/>
      <c r="E124" s="4"/>
      <c r="F124" s="4"/>
      <c r="G124" s="4"/>
    </row>
    <row r="125" spans="2:8" x14ac:dyDescent="0.25">
      <c r="B125" s="19" t="s">
        <v>106</v>
      </c>
    </row>
    <row r="126" spans="2:8" x14ac:dyDescent="0.25">
      <c r="B126" s="57" t="s">
        <v>77</v>
      </c>
      <c r="C126" s="57"/>
      <c r="D126" s="57"/>
      <c r="E126" s="57"/>
      <c r="F126" s="57"/>
      <c r="G126" s="57"/>
      <c r="H126" s="57"/>
    </row>
    <row r="127" spans="2:8" ht="15.75" thickBot="1" x14ac:dyDescent="0.3">
      <c r="B127" s="21"/>
    </row>
    <row r="128" spans="2:8" ht="26.25" thickBot="1" x14ac:dyDescent="0.3">
      <c r="C128" s="1" t="s">
        <v>78</v>
      </c>
      <c r="D128" s="2" t="s">
        <v>79</v>
      </c>
      <c r="E128" s="2" t="s">
        <v>80</v>
      </c>
      <c r="F128" s="2" t="s">
        <v>81</v>
      </c>
    </row>
    <row r="129" spans="3:6" ht="26.25" thickBot="1" x14ac:dyDescent="0.3">
      <c r="C129" s="3" t="s">
        <v>82</v>
      </c>
      <c r="D129" s="4" t="s">
        <v>147</v>
      </c>
      <c r="E129" s="4" t="s">
        <v>154</v>
      </c>
      <c r="F129" s="4" t="s">
        <v>215</v>
      </c>
    </row>
    <row r="130" spans="3:6" ht="26.25" thickBot="1" x14ac:dyDescent="0.3">
      <c r="C130" s="3"/>
      <c r="D130" s="4" t="s">
        <v>83</v>
      </c>
      <c r="E130" s="4" t="s">
        <v>167</v>
      </c>
      <c r="F130" s="4" t="s">
        <v>215</v>
      </c>
    </row>
    <row r="131" spans="3:6" ht="15.75" thickBot="1" x14ac:dyDescent="0.3">
      <c r="C131" s="3"/>
      <c r="D131" s="4" t="s">
        <v>85</v>
      </c>
      <c r="E131" s="4" t="s">
        <v>173</v>
      </c>
      <c r="F131" s="4" t="s">
        <v>215</v>
      </c>
    </row>
    <row r="132" spans="3:6" ht="15.75" thickBot="1" x14ac:dyDescent="0.3">
      <c r="C132" s="3"/>
      <c r="D132" s="4" t="s">
        <v>86</v>
      </c>
      <c r="E132" s="4" t="s">
        <v>174</v>
      </c>
      <c r="F132" s="4" t="s">
        <v>215</v>
      </c>
    </row>
    <row r="133" spans="3:6" ht="26.25" thickBot="1" x14ac:dyDescent="0.3">
      <c r="C133" s="3" t="s">
        <v>88</v>
      </c>
      <c r="D133" s="4" t="s">
        <v>147</v>
      </c>
      <c r="E133" s="4" t="s">
        <v>175</v>
      </c>
      <c r="F133" s="4" t="s">
        <v>215</v>
      </c>
    </row>
    <row r="134" spans="3:6" ht="26.25" thickBot="1" x14ac:dyDescent="0.3">
      <c r="C134" s="3"/>
      <c r="D134" s="4" t="s">
        <v>83</v>
      </c>
      <c r="E134" s="4" t="s">
        <v>176</v>
      </c>
      <c r="F134" s="4" t="s">
        <v>215</v>
      </c>
    </row>
    <row r="135" spans="3:6" ht="15.75" thickBot="1" x14ac:dyDescent="0.3">
      <c r="C135" s="3"/>
      <c r="D135" s="4" t="s">
        <v>85</v>
      </c>
      <c r="E135" s="4" t="s">
        <v>185</v>
      </c>
      <c r="F135" s="4" t="s">
        <v>215</v>
      </c>
    </row>
    <row r="136" spans="3:6" ht="15.75" thickBot="1" x14ac:dyDescent="0.3">
      <c r="C136" s="3"/>
      <c r="D136" s="4" t="s">
        <v>86</v>
      </c>
      <c r="E136" s="4" t="s">
        <v>177</v>
      </c>
      <c r="F136" s="4" t="s">
        <v>215</v>
      </c>
    </row>
    <row r="137" spans="3:6" ht="26.25" thickBot="1" x14ac:dyDescent="0.3">
      <c r="C137" s="3" t="s">
        <v>90</v>
      </c>
      <c r="D137" s="4" t="s">
        <v>147</v>
      </c>
      <c r="E137" s="4" t="s">
        <v>178</v>
      </c>
      <c r="F137" s="4" t="s">
        <v>215</v>
      </c>
    </row>
    <row r="138" spans="3:6" ht="26.25" thickBot="1" x14ac:dyDescent="0.3">
      <c r="C138" s="3"/>
      <c r="D138" s="4" t="s">
        <v>83</v>
      </c>
      <c r="E138" s="4" t="s">
        <v>162</v>
      </c>
      <c r="F138" s="4" t="s">
        <v>215</v>
      </c>
    </row>
    <row r="139" spans="3:6" ht="15.75" thickBot="1" x14ac:dyDescent="0.3">
      <c r="C139" s="3"/>
      <c r="D139" s="4" t="s">
        <v>85</v>
      </c>
      <c r="E139" s="4" t="s">
        <v>222</v>
      </c>
      <c r="F139" s="4" t="s">
        <v>215</v>
      </c>
    </row>
    <row r="140" spans="3:6" ht="15.75" thickBot="1" x14ac:dyDescent="0.3">
      <c r="C140" s="3"/>
      <c r="D140" s="4" t="s">
        <v>86</v>
      </c>
      <c r="E140" s="4" t="s">
        <v>223</v>
      </c>
      <c r="F140" s="4" t="s">
        <v>215</v>
      </c>
    </row>
  </sheetData>
  <mergeCells count="16">
    <mergeCell ref="B100:K100"/>
    <mergeCell ref="B101:K101"/>
    <mergeCell ref="B102:K102"/>
    <mergeCell ref="B103:K103"/>
    <mergeCell ref="B126:H126"/>
    <mergeCell ref="B105:F105"/>
    <mergeCell ref="C31:O31"/>
    <mergeCell ref="C49:M49"/>
    <mergeCell ref="B76:J81"/>
    <mergeCell ref="B99:K99"/>
    <mergeCell ref="C61:L61"/>
    <mergeCell ref="B1:M8"/>
    <mergeCell ref="C27:O27"/>
    <mergeCell ref="C28:O28"/>
    <mergeCell ref="C29:O29"/>
    <mergeCell ref="C30:O30"/>
  </mergeCells>
  <phoneticPr fontId="1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CB51-1E67-4B31-BF8E-C20E1195D242}">
  <dimension ref="C24:F37"/>
  <sheetViews>
    <sheetView tabSelected="1" zoomScale="130" zoomScaleNormal="130" workbookViewId="0">
      <selection activeCell="F25" sqref="F25"/>
    </sheetView>
  </sheetViews>
  <sheetFormatPr defaultRowHeight="15" x14ac:dyDescent="0.25"/>
  <sheetData>
    <row r="24" spans="3:6" x14ac:dyDescent="0.25">
      <c r="C24" s="61" t="s">
        <v>224</v>
      </c>
      <c r="D24" s="61"/>
      <c r="F24">
        <f>_xlfn.BITOR(252, 1)</f>
        <v>253</v>
      </c>
    </row>
    <row r="25" spans="3:6" x14ac:dyDescent="0.25">
      <c r="C25" s="61" t="s">
        <v>225</v>
      </c>
      <c r="D25" s="61"/>
    </row>
    <row r="26" spans="3:6" x14ac:dyDescent="0.25">
      <c r="C26" s="61" t="s">
        <v>226</v>
      </c>
      <c r="D26" s="61"/>
    </row>
    <row r="27" spans="3:6" x14ac:dyDescent="0.25">
      <c r="C27" s="60"/>
      <c r="D27" s="60"/>
    </row>
    <row r="28" spans="3:6" x14ac:dyDescent="0.25">
      <c r="C28" s="60"/>
      <c r="D28" s="60"/>
    </row>
    <row r="29" spans="3:6" x14ac:dyDescent="0.25">
      <c r="C29" s="60"/>
      <c r="D29" s="60"/>
    </row>
    <row r="30" spans="3:6" x14ac:dyDescent="0.25">
      <c r="C30" s="60"/>
      <c r="D30" s="60"/>
    </row>
    <row r="31" spans="3:6" x14ac:dyDescent="0.25">
      <c r="C31" s="60"/>
      <c r="D31" s="60"/>
    </row>
    <row r="32" spans="3:6" x14ac:dyDescent="0.25">
      <c r="C32" s="60"/>
      <c r="D32" s="60"/>
    </row>
    <row r="33" spans="3:4" x14ac:dyDescent="0.25">
      <c r="C33" s="60"/>
      <c r="D33" s="60"/>
    </row>
    <row r="34" spans="3:4" x14ac:dyDescent="0.25">
      <c r="C34" s="60"/>
      <c r="D34" s="60"/>
    </row>
    <row r="35" spans="3:4" x14ac:dyDescent="0.25">
      <c r="C35" s="60"/>
      <c r="D35" s="60"/>
    </row>
    <row r="36" spans="3:4" x14ac:dyDescent="0.25">
      <c r="C36" s="60"/>
      <c r="D36" s="60"/>
    </row>
    <row r="37" spans="3:4" x14ac:dyDescent="0.25">
      <c r="C37" s="60"/>
      <c r="D37" s="60"/>
    </row>
  </sheetData>
  <mergeCells count="14">
    <mergeCell ref="C36:D36"/>
    <mergeCell ref="C37:D37"/>
    <mergeCell ref="C30:D30"/>
    <mergeCell ref="C31:D31"/>
    <mergeCell ref="C32:D32"/>
    <mergeCell ref="C33:D33"/>
    <mergeCell ref="C34:D34"/>
    <mergeCell ref="C35:D35"/>
    <mergeCell ref="C29:D29"/>
    <mergeCell ref="C24:D24"/>
    <mergeCell ref="C25:D25"/>
    <mergeCell ref="C26:D26"/>
    <mergeCell ref="C27:D27"/>
    <mergeCell ref="C28:D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308-46DF-436D-9EFF-5DE316707940}">
  <dimension ref="B3:Q41"/>
  <sheetViews>
    <sheetView topLeftCell="A12" zoomScale="70" zoomScaleNormal="70" workbookViewId="0">
      <selection activeCell="J38" sqref="J38"/>
    </sheetView>
  </sheetViews>
  <sheetFormatPr defaultRowHeight="15" x14ac:dyDescent="0.25"/>
  <cols>
    <col min="2" max="2" width="15.5703125" bestFit="1" customWidth="1"/>
    <col min="3" max="3" width="13.7109375" bestFit="1" customWidth="1"/>
    <col min="4" max="4" width="16.85546875" customWidth="1"/>
    <col min="5" max="5" width="16.42578125" customWidth="1"/>
    <col min="6" max="6" width="16.85546875" customWidth="1"/>
    <col min="7" max="13" width="15.7109375" bestFit="1" customWidth="1"/>
    <col min="14" max="14" width="14.7109375" bestFit="1" customWidth="1"/>
  </cols>
  <sheetData>
    <row r="3" spans="2:17" x14ac:dyDescent="0.25">
      <c r="B3" s="66" t="s">
        <v>227</v>
      </c>
      <c r="C3" s="66" t="s">
        <v>228</v>
      </c>
      <c r="D3" s="66" t="s">
        <v>229</v>
      </c>
      <c r="E3" s="66"/>
      <c r="F3" s="66"/>
      <c r="G3" s="66"/>
      <c r="H3" s="66"/>
      <c r="I3" s="66"/>
      <c r="J3" s="66"/>
      <c r="K3" s="66"/>
    </row>
    <row r="4" spans="2:17" x14ac:dyDescent="0.25">
      <c r="B4" s="66"/>
      <c r="C4" s="66"/>
      <c r="D4" s="22">
        <v>1</v>
      </c>
      <c r="E4" s="22">
        <v>2</v>
      </c>
      <c r="F4" s="22">
        <v>3</v>
      </c>
      <c r="G4" s="22">
        <v>4</v>
      </c>
      <c r="H4" s="22">
        <v>5</v>
      </c>
      <c r="I4" s="22">
        <v>6</v>
      </c>
      <c r="J4" s="22">
        <v>7</v>
      </c>
      <c r="K4" s="22">
        <v>8</v>
      </c>
    </row>
    <row r="5" spans="2:17" x14ac:dyDescent="0.25">
      <c r="B5" s="22">
        <v>3</v>
      </c>
      <c r="C5" s="22" t="s">
        <v>230</v>
      </c>
      <c r="D5" s="22">
        <v>250</v>
      </c>
      <c r="E5" s="22">
        <v>2</v>
      </c>
      <c r="F5" s="22">
        <v>2</v>
      </c>
      <c r="G5" s="22">
        <v>2</v>
      </c>
      <c r="H5" s="22">
        <v>250</v>
      </c>
      <c r="I5" s="22">
        <v>125</v>
      </c>
      <c r="J5" s="22">
        <v>60</v>
      </c>
      <c r="K5" s="22">
        <v>50</v>
      </c>
    </row>
    <row r="7" spans="2:17" ht="15.75" thickBot="1" x14ac:dyDescent="0.3"/>
    <row r="8" spans="2:17" ht="15.75" thickBot="1" x14ac:dyDescent="0.3">
      <c r="B8" s="14"/>
      <c r="C8" s="24" t="s">
        <v>237</v>
      </c>
      <c r="D8" t="s">
        <v>238</v>
      </c>
    </row>
    <row r="9" spans="2:17" x14ac:dyDescent="0.25">
      <c r="B9" s="25"/>
      <c r="C9" s="24" t="s">
        <v>237</v>
      </c>
      <c r="D9" t="s">
        <v>239</v>
      </c>
    </row>
    <row r="10" spans="2:17" x14ac:dyDescent="0.25">
      <c r="B10" s="26" t="s">
        <v>240</v>
      </c>
      <c r="C10" s="24" t="s">
        <v>237</v>
      </c>
      <c r="D10" t="s">
        <v>241</v>
      </c>
    </row>
    <row r="13" spans="2:17" x14ac:dyDescent="0.25">
      <c r="B13" s="27"/>
      <c r="C13" s="65" t="s">
        <v>231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</row>
    <row r="14" spans="2:17" ht="15.75" thickBot="1" x14ac:dyDescent="0.3">
      <c r="B14" s="27" t="s">
        <v>233</v>
      </c>
      <c r="C14" s="28">
        <v>0</v>
      </c>
      <c r="D14" s="23">
        <v>1</v>
      </c>
      <c r="E14" s="28">
        <v>2</v>
      </c>
      <c r="F14" s="28">
        <v>3</v>
      </c>
      <c r="G14" s="28">
        <v>4</v>
      </c>
      <c r="H14" s="28">
        <v>5</v>
      </c>
      <c r="I14" s="28">
        <v>6</v>
      </c>
      <c r="J14" s="28">
        <v>7</v>
      </c>
      <c r="K14" s="28">
        <v>8</v>
      </c>
      <c r="L14" s="28">
        <v>9</v>
      </c>
      <c r="M14" s="28">
        <v>10</v>
      </c>
      <c r="N14" s="23">
        <v>11</v>
      </c>
      <c r="O14" s="23">
        <v>12</v>
      </c>
      <c r="P14" s="23">
        <v>13</v>
      </c>
      <c r="Q14" s="23">
        <v>14</v>
      </c>
    </row>
    <row r="15" spans="2:17" ht="15.75" thickBot="1" x14ac:dyDescent="0.3">
      <c r="B15" s="30">
        <v>1</v>
      </c>
      <c r="C15" s="12" t="s">
        <v>230</v>
      </c>
      <c r="D15" s="31" t="s">
        <v>232</v>
      </c>
      <c r="E15" s="12" t="s">
        <v>232</v>
      </c>
      <c r="F15" s="42" t="s">
        <v>243</v>
      </c>
      <c r="G15" s="43" t="s">
        <v>243</v>
      </c>
      <c r="H15" s="12" t="s">
        <v>243</v>
      </c>
      <c r="I15" s="39" t="s">
        <v>245</v>
      </c>
      <c r="J15" s="39" t="s">
        <v>252</v>
      </c>
      <c r="K15" s="49" t="s">
        <v>254</v>
      </c>
      <c r="L15" s="39" t="s">
        <v>257</v>
      </c>
      <c r="M15" s="39" t="s">
        <v>259</v>
      </c>
      <c r="N15" s="41" t="s">
        <v>261</v>
      </c>
      <c r="O15" s="22"/>
      <c r="P15" s="22"/>
      <c r="Q15" s="22"/>
    </row>
    <row r="16" spans="2:17" ht="15.75" thickBot="1" x14ac:dyDescent="0.3">
      <c r="B16" s="22">
        <v>2</v>
      </c>
      <c r="C16" s="32"/>
      <c r="D16" s="33" t="s">
        <v>234</v>
      </c>
      <c r="E16" s="34" t="s">
        <v>235</v>
      </c>
      <c r="F16" s="12" t="s">
        <v>244</v>
      </c>
      <c r="G16" s="39" t="s">
        <v>247</v>
      </c>
      <c r="H16" s="44" t="s">
        <v>249</v>
      </c>
      <c r="I16" s="45" t="s">
        <v>246</v>
      </c>
      <c r="J16" s="40" t="s">
        <v>253</v>
      </c>
      <c r="K16" s="40" t="s">
        <v>255</v>
      </c>
      <c r="L16" s="50" t="s">
        <v>258</v>
      </c>
      <c r="M16" s="39" t="s">
        <v>260</v>
      </c>
      <c r="N16" s="41" t="s">
        <v>262</v>
      </c>
      <c r="O16" s="22"/>
      <c r="P16" s="22"/>
      <c r="Q16" s="22"/>
    </row>
    <row r="17" spans="2:17" x14ac:dyDescent="0.25">
      <c r="B17" s="22">
        <v>3</v>
      </c>
      <c r="C17" s="22"/>
      <c r="D17" s="35"/>
      <c r="E17" s="36" t="s">
        <v>236</v>
      </c>
      <c r="F17" s="46" t="s">
        <v>235</v>
      </c>
      <c r="G17" s="47" t="s">
        <v>248</v>
      </c>
      <c r="H17" s="36" t="s">
        <v>251</v>
      </c>
      <c r="I17" s="38" t="s">
        <v>249</v>
      </c>
      <c r="J17" s="22" t="s">
        <v>246</v>
      </c>
      <c r="K17" s="22" t="s">
        <v>253</v>
      </c>
      <c r="L17" s="22" t="s">
        <v>255</v>
      </c>
      <c r="M17" s="35" t="s">
        <v>258</v>
      </c>
      <c r="N17" s="36" t="s">
        <v>263</v>
      </c>
      <c r="O17" s="22"/>
      <c r="P17" s="22"/>
      <c r="Q17" s="22"/>
    </row>
    <row r="18" spans="2:17" x14ac:dyDescent="0.25">
      <c r="B18" s="22">
        <v>4</v>
      </c>
      <c r="C18" s="22"/>
      <c r="D18" s="22"/>
      <c r="E18" s="22"/>
      <c r="F18" s="38" t="s">
        <v>236</v>
      </c>
      <c r="G18" s="37" t="s">
        <v>235</v>
      </c>
      <c r="H18" s="48" t="s">
        <v>248</v>
      </c>
      <c r="I18" s="38" t="s">
        <v>249</v>
      </c>
      <c r="J18" s="38" t="s">
        <v>249</v>
      </c>
      <c r="K18" s="22" t="s">
        <v>246</v>
      </c>
      <c r="L18" s="22" t="s">
        <v>253</v>
      </c>
      <c r="M18" s="22" t="s">
        <v>255</v>
      </c>
      <c r="N18" s="51" t="s">
        <v>264</v>
      </c>
      <c r="O18" s="22"/>
      <c r="P18" s="22"/>
      <c r="Q18" s="22"/>
    </row>
    <row r="19" spans="2:17" x14ac:dyDescent="0.25">
      <c r="B19" s="22">
        <v>5</v>
      </c>
      <c r="C19" s="22"/>
      <c r="D19" s="22"/>
      <c r="E19" s="22"/>
      <c r="F19" s="22"/>
      <c r="G19" s="38" t="s">
        <v>236</v>
      </c>
      <c r="H19" s="37" t="s">
        <v>235</v>
      </c>
      <c r="I19" s="38" t="s">
        <v>248</v>
      </c>
      <c r="J19" s="38" t="s">
        <v>249</v>
      </c>
      <c r="K19" s="38" t="s">
        <v>249</v>
      </c>
      <c r="L19" s="22" t="s">
        <v>246</v>
      </c>
      <c r="M19" s="22" t="s">
        <v>253</v>
      </c>
      <c r="N19" s="22" t="s">
        <v>258</v>
      </c>
      <c r="O19" s="22"/>
      <c r="P19" s="22"/>
      <c r="Q19" s="22"/>
    </row>
    <row r="20" spans="2:17" x14ac:dyDescent="0.25">
      <c r="B20" s="22">
        <v>6</v>
      </c>
      <c r="C20" s="22"/>
      <c r="D20" s="22"/>
      <c r="E20" s="22"/>
      <c r="F20" s="22"/>
      <c r="G20" s="22"/>
      <c r="H20" s="38" t="s">
        <v>236</v>
      </c>
      <c r="I20" s="38" t="s">
        <v>235</v>
      </c>
      <c r="J20" s="38" t="s">
        <v>248</v>
      </c>
      <c r="K20" s="38" t="s">
        <v>249</v>
      </c>
      <c r="L20" s="38" t="s">
        <v>249</v>
      </c>
      <c r="M20" s="22" t="s">
        <v>246</v>
      </c>
      <c r="N20" s="22" t="s">
        <v>255</v>
      </c>
      <c r="O20" s="22"/>
      <c r="P20" s="22"/>
      <c r="Q20" s="22"/>
    </row>
    <row r="21" spans="2:17" x14ac:dyDescent="0.25">
      <c r="B21" s="22">
        <v>7</v>
      </c>
      <c r="C21" s="22"/>
      <c r="D21" s="22"/>
      <c r="E21" s="22"/>
      <c r="F21" s="22"/>
      <c r="G21" s="22"/>
      <c r="H21" s="22"/>
      <c r="I21" s="38" t="s">
        <v>236</v>
      </c>
      <c r="J21" s="38" t="s">
        <v>235</v>
      </c>
      <c r="K21" s="38" t="s">
        <v>248</v>
      </c>
      <c r="L21" s="38" t="s">
        <v>249</v>
      </c>
      <c r="M21" s="38" t="s">
        <v>249</v>
      </c>
      <c r="N21" s="22" t="s">
        <v>253</v>
      </c>
      <c r="O21" s="22"/>
      <c r="P21" s="22"/>
      <c r="Q21" s="22"/>
    </row>
    <row r="22" spans="2:17" x14ac:dyDescent="0.25">
      <c r="B22" s="22">
        <v>8</v>
      </c>
      <c r="C22" s="22"/>
      <c r="D22" s="22"/>
      <c r="E22" s="22"/>
      <c r="F22" s="22"/>
      <c r="G22" s="22"/>
      <c r="H22" s="22"/>
      <c r="I22" s="22"/>
      <c r="J22" s="38" t="s">
        <v>236</v>
      </c>
      <c r="K22" s="38" t="s">
        <v>235</v>
      </c>
      <c r="L22" s="38" t="s">
        <v>248</v>
      </c>
      <c r="M22" s="38" t="s">
        <v>249</v>
      </c>
      <c r="N22" s="22" t="s">
        <v>246</v>
      </c>
      <c r="O22" s="22"/>
      <c r="P22" s="22"/>
      <c r="Q22" s="22"/>
    </row>
    <row r="23" spans="2:17" x14ac:dyDescent="0.25">
      <c r="B23" s="22">
        <v>9</v>
      </c>
      <c r="C23" s="22"/>
      <c r="D23" s="22"/>
      <c r="E23" s="22"/>
      <c r="F23" s="22"/>
      <c r="G23" s="22"/>
      <c r="H23" s="22"/>
      <c r="I23" s="22"/>
      <c r="J23" s="22"/>
      <c r="K23" s="38" t="s">
        <v>236</v>
      </c>
      <c r="L23" s="38" t="s">
        <v>235</v>
      </c>
      <c r="M23" s="38" t="s">
        <v>248</v>
      </c>
      <c r="N23" s="38" t="s">
        <v>249</v>
      </c>
      <c r="O23" s="22"/>
      <c r="P23" s="22"/>
      <c r="Q23" s="22"/>
    </row>
    <row r="24" spans="2:17" x14ac:dyDescent="0.25">
      <c r="B24" s="22">
        <v>10</v>
      </c>
      <c r="C24" s="22"/>
      <c r="D24" s="22"/>
      <c r="E24" s="22"/>
      <c r="F24" s="22"/>
      <c r="G24" s="22"/>
      <c r="H24" s="22"/>
      <c r="I24" s="22"/>
      <c r="J24" s="22"/>
      <c r="K24" s="22"/>
      <c r="L24" s="38" t="s">
        <v>236</v>
      </c>
      <c r="M24" s="38" t="s">
        <v>235</v>
      </c>
      <c r="N24" s="38" t="s">
        <v>249</v>
      </c>
      <c r="O24" s="22"/>
      <c r="P24" s="22"/>
      <c r="Q24" s="22"/>
    </row>
    <row r="25" spans="2:17" x14ac:dyDescent="0.25">
      <c r="B25" s="22">
        <v>11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38" t="s">
        <v>236</v>
      </c>
      <c r="N25" s="38" t="s">
        <v>248</v>
      </c>
      <c r="O25" s="22"/>
      <c r="P25" s="22"/>
      <c r="Q25" s="22"/>
    </row>
    <row r="26" spans="2:17" x14ac:dyDescent="0.25">
      <c r="B26" s="22">
        <v>12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38" t="s">
        <v>235</v>
      </c>
      <c r="O26" s="22"/>
      <c r="P26" s="22"/>
      <c r="Q26" s="22"/>
    </row>
    <row r="27" spans="2:17" x14ac:dyDescent="0.25">
      <c r="B27" s="22">
        <v>13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38" t="s">
        <v>236</v>
      </c>
      <c r="O27" s="22"/>
      <c r="P27" s="22"/>
      <c r="Q27" s="22"/>
    </row>
    <row r="28" spans="2:17" x14ac:dyDescent="0.25">
      <c r="B28" s="22">
        <v>14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2:17" x14ac:dyDescent="0.25">
      <c r="B29" s="67" t="s">
        <v>256</v>
      </c>
      <c r="C29" s="64"/>
      <c r="D29" s="64"/>
      <c r="E29" s="64" t="s">
        <v>242</v>
      </c>
      <c r="F29" s="64"/>
      <c r="G29" s="64">
        <v>6</v>
      </c>
      <c r="H29" s="64" t="s">
        <v>250</v>
      </c>
      <c r="I29" s="64"/>
      <c r="J29" s="64"/>
      <c r="K29" s="64"/>
      <c r="L29" s="62"/>
      <c r="M29" s="62"/>
      <c r="N29" s="62" t="s">
        <v>265</v>
      </c>
      <c r="O29" s="62"/>
      <c r="P29" s="62"/>
      <c r="Q29" s="62"/>
    </row>
    <row r="30" spans="2:17" x14ac:dyDescent="0.25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3"/>
      <c r="M30" s="63"/>
      <c r="N30" s="63"/>
      <c r="O30" s="63"/>
      <c r="P30" s="63"/>
      <c r="Q30" s="63"/>
    </row>
    <row r="33" spans="3:9" x14ac:dyDescent="0.25">
      <c r="C33" s="29" t="s">
        <v>266</v>
      </c>
      <c r="D33" s="29" t="s">
        <v>74</v>
      </c>
      <c r="E33" s="29" t="s">
        <v>268</v>
      </c>
      <c r="F33" s="29" t="s">
        <v>269</v>
      </c>
      <c r="G33" s="29" t="s">
        <v>267</v>
      </c>
      <c r="H33" s="29" t="s">
        <v>279</v>
      </c>
      <c r="I33" s="29" t="s">
        <v>278</v>
      </c>
    </row>
    <row r="34" spans="3:9" x14ac:dyDescent="0.25">
      <c r="C34" s="22">
        <v>1</v>
      </c>
      <c r="D34" s="22" t="s">
        <v>235</v>
      </c>
      <c r="E34" s="22" t="s">
        <v>270</v>
      </c>
      <c r="F34" s="22" t="s">
        <v>283</v>
      </c>
      <c r="G34" s="22" t="s">
        <v>280</v>
      </c>
      <c r="H34" s="22">
        <v>250</v>
      </c>
      <c r="I34" s="23">
        <v>254</v>
      </c>
    </row>
    <row r="35" spans="3:9" x14ac:dyDescent="0.25">
      <c r="C35" s="22">
        <v>2</v>
      </c>
      <c r="D35" s="22" t="s">
        <v>261</v>
      </c>
      <c r="E35" s="22" t="s">
        <v>271</v>
      </c>
      <c r="F35" s="22" t="s">
        <v>286</v>
      </c>
      <c r="G35" s="22" t="s">
        <v>287</v>
      </c>
      <c r="H35" s="22">
        <v>2</v>
      </c>
      <c r="I35" s="23">
        <v>2</v>
      </c>
    </row>
    <row r="36" spans="3:9" x14ac:dyDescent="0.25">
      <c r="C36" s="22">
        <v>3</v>
      </c>
      <c r="D36" s="22" t="s">
        <v>262</v>
      </c>
      <c r="E36" s="22" t="s">
        <v>272</v>
      </c>
      <c r="F36" s="22" t="s">
        <v>288</v>
      </c>
      <c r="G36" s="22" t="s">
        <v>289</v>
      </c>
      <c r="H36" s="22">
        <v>2</v>
      </c>
      <c r="I36" s="23">
        <v>2</v>
      </c>
    </row>
    <row r="37" spans="3:9" x14ac:dyDescent="0.25">
      <c r="C37" s="22">
        <v>4</v>
      </c>
      <c r="D37" s="22" t="s">
        <v>263</v>
      </c>
      <c r="E37" s="22" t="s">
        <v>273</v>
      </c>
      <c r="F37" s="22" t="s">
        <v>291</v>
      </c>
      <c r="G37" s="22" t="s">
        <v>290</v>
      </c>
      <c r="H37" s="22">
        <v>2</v>
      </c>
      <c r="I37" s="23">
        <v>2</v>
      </c>
    </row>
    <row r="38" spans="3:9" x14ac:dyDescent="0.25">
      <c r="C38" s="22">
        <v>5</v>
      </c>
      <c r="D38" s="22" t="s">
        <v>236</v>
      </c>
      <c r="E38" s="22" t="s">
        <v>274</v>
      </c>
      <c r="F38" s="22" t="s">
        <v>284</v>
      </c>
      <c r="G38" s="22" t="s">
        <v>281</v>
      </c>
      <c r="H38" s="22">
        <v>250</v>
      </c>
      <c r="I38" s="23">
        <v>254</v>
      </c>
    </row>
    <row r="39" spans="3:9" x14ac:dyDescent="0.25">
      <c r="C39" s="22">
        <v>6</v>
      </c>
      <c r="D39" s="22" t="s">
        <v>248</v>
      </c>
      <c r="E39" s="22" t="s">
        <v>275</v>
      </c>
      <c r="F39" s="22" t="s">
        <v>285</v>
      </c>
      <c r="G39" s="22" t="s">
        <v>282</v>
      </c>
      <c r="H39" s="22">
        <v>125</v>
      </c>
      <c r="I39" s="23">
        <v>126</v>
      </c>
    </row>
    <row r="40" spans="3:9" x14ac:dyDescent="0.25">
      <c r="C40" s="22">
        <v>7</v>
      </c>
      <c r="D40" s="22" t="s">
        <v>249</v>
      </c>
      <c r="E40" s="22" t="s">
        <v>276</v>
      </c>
      <c r="F40" s="22" t="s">
        <v>292</v>
      </c>
      <c r="G40" s="22" t="s">
        <v>251</v>
      </c>
      <c r="H40" s="22">
        <v>60</v>
      </c>
      <c r="I40" s="23">
        <v>62</v>
      </c>
    </row>
    <row r="41" spans="3:9" x14ac:dyDescent="0.25">
      <c r="C41" s="22">
        <v>8</v>
      </c>
      <c r="D41" s="22" t="s">
        <v>251</v>
      </c>
      <c r="E41" s="22" t="s">
        <v>277</v>
      </c>
      <c r="F41" s="22" t="s">
        <v>294</v>
      </c>
      <c r="G41" s="22" t="s">
        <v>293</v>
      </c>
      <c r="H41" s="22">
        <v>50</v>
      </c>
      <c r="I41" s="23">
        <v>62</v>
      </c>
    </row>
  </sheetData>
  <mergeCells count="20">
    <mergeCell ref="C3:C4"/>
    <mergeCell ref="B3:B4"/>
    <mergeCell ref="D3:K3"/>
    <mergeCell ref="B29:B30"/>
    <mergeCell ref="K29:K30"/>
    <mergeCell ref="J29:J30"/>
    <mergeCell ref="I29:I30"/>
    <mergeCell ref="H29:H30"/>
    <mergeCell ref="G29:G30"/>
    <mergeCell ref="C13:Q13"/>
    <mergeCell ref="Q29:Q30"/>
    <mergeCell ref="P29:P30"/>
    <mergeCell ref="O29:O30"/>
    <mergeCell ref="N29:N30"/>
    <mergeCell ref="M29:M30"/>
    <mergeCell ref="L29:L30"/>
    <mergeCell ref="F29:F30"/>
    <mergeCell ref="E29:E30"/>
    <mergeCell ref="D29:D30"/>
    <mergeCell ref="C29:C30"/>
  </mergeCells>
  <pageMargins left="0.7" right="0.7" top="0.75" bottom="0.75" header="0.3" footer="0.3"/>
  <ignoredErrors>
    <ignoredError sqref="N2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ПЗ_2.1</vt:lpstr>
      <vt:lpstr>ПЗ_2.2</vt:lpstr>
      <vt:lpstr>ПЗ_2.3</vt:lpstr>
      <vt:lpstr>Инд 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Стас Габрусь</dc:creator>
  <cp:lastModifiedBy>Стас Габрусь</cp:lastModifiedBy>
  <dcterms:created xsi:type="dcterms:W3CDTF">2015-06-05T18:17:20Z</dcterms:created>
  <dcterms:modified xsi:type="dcterms:W3CDTF">2025-10-21T10:54:13Z</dcterms:modified>
</cp:coreProperties>
</file>