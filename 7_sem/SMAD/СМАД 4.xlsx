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<sst xmlns="http://schemas.openxmlformats.org/spreadsheetml/2006/main" count="46" uniqueCount="38">
  <si>
    <t>t</t>
  </si>
  <si>
    <t>x(t)</t>
  </si>
  <si>
    <t>y(t) цена квартиры</t>
  </si>
  <si>
    <t>xt^2</t>
  </si>
  <si>
    <t>xt - x</t>
  </si>
  <si>
    <t>(xt - x)^2</t>
  </si>
  <si>
    <t>yt - y</t>
  </si>
  <si>
    <t>(yt - y)^2</t>
  </si>
  <si>
    <t>(xt - x)(yt - y)</t>
  </si>
  <si>
    <t>yt</t>
  </si>
  <si>
    <t>et</t>
  </si>
  <si>
    <t>et^2</t>
  </si>
  <si>
    <t>st^2</t>
  </si>
  <si>
    <t>y = 40067 + 1872 * x</t>
  </si>
  <si>
    <t>Среднее</t>
  </si>
  <si>
    <t>Сумма</t>
  </si>
  <si>
    <t>а1=</t>
  </si>
  <si>
    <t>a0=</t>
  </si>
  <si>
    <t>несмещенная оценка дисперсии случайных переменных</t>
  </si>
  <si>
    <t>несмещенная оценка дисперсии переменной а1</t>
  </si>
  <si>
    <t>несмещенная оценка дисперсии переменной а0</t>
  </si>
  <si>
    <t>квантиль распределения Стьюдента</t>
  </si>
  <si>
    <t>γ =</t>
  </si>
  <si>
    <t>наблюдаемое</t>
  </si>
  <si>
    <t>a1=</t>
  </si>
  <si>
    <t>статистически значимый</t>
  </si>
  <si>
    <t>статистически незначимый</t>
  </si>
  <si>
    <t>Коэффициент детерминации модели</t>
  </si>
  <si>
    <t>Плохо объясняет модель</t>
  </si>
  <si>
    <t>квантиль распределения Фишера</t>
  </si>
  <si>
    <t>значима на 95 процентов</t>
  </si>
  <si>
    <t>^y(t)</t>
  </si>
  <si>
    <t>левый, y=0.9</t>
  </si>
  <si>
    <t>правый, y=0.9</t>
  </si>
  <si>
    <t>левый, y=0.95</t>
  </si>
  <si>
    <t>правый, y=0.95</t>
  </si>
  <si>
    <t>левый, y=0.99</t>
  </si>
  <si>
    <t>правый, y=0.99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</si>
</sst>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000000"/>
      <name val="Calibri"/>
    </font>
    <font>
      <sz val="12.0"/>
      <color theme="1"/>
      <name val="Arial"/>
    </font>
    <font>
      <color theme="1"/>
      <name val="Arial"/>
      <scheme val="minor"/>
    </font>
    <font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right" readingOrder="0" shrinkToFit="0" vertical="bottom" wrapText="0"/>
    </xf>
    <xf borderId="1" fillId="2" fontId="4" numFmtId="0" xfId="0" applyAlignment="1" applyBorder="1" applyFill="1" applyFont="1">
      <alignment horizontal="right" vertical="bottom"/>
    </xf>
    <xf borderId="1" fillId="0" fontId="5" numFmtId="0" xfId="0" applyBorder="1" applyFont="1"/>
    <xf borderId="1" fillId="0" fontId="4" numFmtId="0" xfId="0" applyAlignment="1" applyBorder="1" applyFont="1">
      <alignment horizontal="right" vertical="bottom"/>
    </xf>
    <xf borderId="0" fillId="0" fontId="6" numFmtId="0" xfId="0" applyAlignment="1" applyFont="1">
      <alignment readingOrder="0"/>
    </xf>
    <xf borderId="1" fillId="0" fontId="4" numFmtId="0" xfId="0" applyAlignment="1" applyBorder="1" applyFont="1">
      <alignment horizontal="right"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11" xfId="0" applyFont="1" applyNumberFormat="1"/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center" vertical="center"/>
    </xf>
    <xf borderId="0" fillId="3" fontId="5" numFmtId="0" xfId="0" applyFill="1" applyFont="1"/>
    <xf borderId="0" fillId="4" fontId="5" numFmtId="0" xfId="0" applyAlignment="1" applyFill="1" applyFont="1">
      <alignment readingOrder="0" shrinkToFit="0" wrapText="1"/>
    </xf>
    <xf borderId="0" fillId="5" fontId="5" numFmtId="0" xfId="0" applyAlignment="1" applyFill="1" applyFont="1">
      <alignment readingOrder="0" shrinkToFit="0" wrapText="1"/>
    </xf>
    <xf borderId="0" fillId="5" fontId="5" numFmtId="0" xfId="0" applyAlignment="1" applyFont="1">
      <alignment readingOrder="0"/>
    </xf>
    <xf borderId="0" fillId="5" fontId="5" numFmtId="0" xfId="0" applyFont="1"/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1" fillId="0" fontId="4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'Лист1'!$C$1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'Лист1'!$B$2:$B$42</c:f>
            </c:numRef>
          </c:xVal>
          <c:yVal>
            <c:numRef>
              <c:f>'Лист1'!$C$2:$C$42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969988"/>
        <c:axId val="1408896518"/>
      </c:scatterChart>
      <c:valAx>
        <c:axId val="8809699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8896518"/>
      </c:valAx>
      <c:valAx>
        <c:axId val="14088965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09699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^y(t), левый, y=0.9 и правый, y=0.9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'Лист1'!$B$81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'Лист1'!$A$82:$A$90</c:f>
            </c:strRef>
          </c:cat>
          <c:val>
            <c:numRef>
              <c:f>'Лист1'!$B$82:$B$90</c:f>
              <c:numCache/>
            </c:numRef>
          </c:val>
          <c:smooth val="0"/>
        </c:ser>
        <c:ser>
          <c:idx val="1"/>
          <c:order val="1"/>
          <c:tx>
            <c:strRef>
              <c:f>'Лист1'!$C$81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'Лист1'!$A$82:$A$90</c:f>
            </c:strRef>
          </c:cat>
          <c:val>
            <c:numRef>
              <c:f>'Лист1'!$C$82:$C$90</c:f>
              <c:numCache/>
            </c:numRef>
          </c:val>
          <c:smooth val="0"/>
        </c:ser>
        <c:ser>
          <c:idx val="2"/>
          <c:order val="2"/>
          <c:tx>
            <c:strRef>
              <c:f>'Лист1'!$D$81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'Лист1'!$A$82:$A$90</c:f>
            </c:strRef>
          </c:cat>
          <c:val>
            <c:numRef>
              <c:f>'Лист1'!$D$82:$D$90</c:f>
              <c:numCache/>
            </c:numRef>
          </c:val>
          <c:smooth val="0"/>
        </c:ser>
        <c:axId val="1826400304"/>
        <c:axId val="1707085669"/>
      </c:lineChart>
      <c:catAx>
        <c:axId val="182640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x(t)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7085669"/>
      </c:catAx>
      <c:valAx>
        <c:axId val="17070856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64003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^y(t), левый, y=0.95 и правый, y=0.95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'Лист1'!$B$81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'Лист1'!$A$82:$A$90</c:f>
            </c:strRef>
          </c:cat>
          <c:val>
            <c:numRef>
              <c:f>'Лист1'!$B$82:$B$90</c:f>
              <c:numCache/>
            </c:numRef>
          </c:val>
          <c:smooth val="0"/>
        </c:ser>
        <c:ser>
          <c:idx val="1"/>
          <c:order val="1"/>
          <c:tx>
            <c:strRef>
              <c:f>'Лист1'!$E$81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'Лист1'!$A$82:$A$90</c:f>
            </c:strRef>
          </c:cat>
          <c:val>
            <c:numRef>
              <c:f>'Лист1'!$E$82:$E$90</c:f>
              <c:numCache/>
            </c:numRef>
          </c:val>
          <c:smooth val="0"/>
        </c:ser>
        <c:ser>
          <c:idx val="2"/>
          <c:order val="2"/>
          <c:tx>
            <c:strRef>
              <c:f>'Лист1'!$F$81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'Лист1'!$A$82:$A$90</c:f>
            </c:strRef>
          </c:cat>
          <c:val>
            <c:numRef>
              <c:f>'Лист1'!$F$82:$F$90</c:f>
              <c:numCache/>
            </c:numRef>
          </c:val>
          <c:smooth val="0"/>
        </c:ser>
        <c:axId val="1518567131"/>
        <c:axId val="698736728"/>
      </c:lineChart>
      <c:catAx>
        <c:axId val="15185671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x(t)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8736728"/>
      </c:catAx>
      <c:valAx>
        <c:axId val="6987367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85671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^y(t), левый, y=0.99 и правый, y=0.99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'Лист1'!$B$81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'Лист1'!$A$82:$A$90</c:f>
            </c:strRef>
          </c:cat>
          <c:val>
            <c:numRef>
              <c:f>'Лист1'!$B$82:$B$90</c:f>
              <c:numCache/>
            </c:numRef>
          </c:val>
          <c:smooth val="0"/>
        </c:ser>
        <c:ser>
          <c:idx val="1"/>
          <c:order val="1"/>
          <c:tx>
            <c:strRef>
              <c:f>'Лист1'!$G$81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'Лист1'!$A$82:$A$90</c:f>
            </c:strRef>
          </c:cat>
          <c:val>
            <c:numRef>
              <c:f>'Лист1'!$G$82:$G$90</c:f>
              <c:numCache/>
            </c:numRef>
          </c:val>
          <c:smooth val="0"/>
        </c:ser>
        <c:ser>
          <c:idx val="2"/>
          <c:order val="2"/>
          <c:tx>
            <c:strRef>
              <c:f>'Лист1'!$H$81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'Лист1'!$A$82:$A$90</c:f>
            </c:strRef>
          </c:cat>
          <c:val>
            <c:numRef>
              <c:f>'Лист1'!$H$82:$H$90</c:f>
              <c:numCache/>
            </c:numRef>
          </c:val>
          <c:smooth val="0"/>
        </c:ser>
        <c:axId val="1916256964"/>
        <c:axId val="371733615"/>
      </c:lineChart>
      <c:catAx>
        <c:axId val="19162569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x(t)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1733615"/>
      </c:catAx>
      <c:valAx>
        <c:axId val="3717336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62569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'Лист1'!$K$1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'Лист1'!$B$2:$B$42</c:f>
            </c:numRef>
          </c:xVal>
          <c:yVal>
            <c:numRef>
              <c:f>'Лист1'!$K$2:$K$21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410616"/>
        <c:axId val="589256922"/>
      </c:scatterChart>
      <c:valAx>
        <c:axId val="19334106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9256922"/>
      </c:valAx>
      <c:valAx>
        <c:axId val="5892569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34106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'Лист1'!$C$1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'Лист1'!$B$2:$B$42</c:f>
            </c:numRef>
          </c:xVal>
          <c:yVal>
            <c:numRef>
              <c:f>'Лист1'!$C$2:$C$42</c:f>
              <c:numCache/>
            </c:numRef>
          </c:yVal>
        </c:ser>
        <c:ser>
          <c:idx val="1"/>
          <c:order val="1"/>
          <c:tx>
            <c:strRef>
              <c:f>'Лист1'!$J$1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'Лист1'!$B$2:$B$42</c:f>
            </c:numRef>
          </c:xVal>
          <c:yVal>
            <c:numRef>
              <c:f>'Лист1'!$J$2:$J$21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212705"/>
        <c:axId val="512884691"/>
      </c:scatterChart>
      <c:valAx>
        <c:axId val="5242127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2884691"/>
      </c:valAx>
      <c:valAx>
        <c:axId val="512884691"/>
        <c:scaling>
          <c:orientation val="minMax"/>
          <c:max val="5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42127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933450</xdr:colOff>
      <xdr:row>0</xdr:row>
      <xdr:rowOff>0</xdr:rowOff>
    </xdr:from>
    <xdr:ext cx="4419600" cy="27336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190500</xdr:colOff>
      <xdr:row>95</xdr:row>
      <xdr:rowOff>19050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400050</xdr:colOff>
      <xdr:row>95</xdr:row>
      <xdr:rowOff>19050</xdr:rowOff>
    </xdr:from>
    <xdr:ext cx="5715000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514350</xdr:colOff>
      <xdr:row>95</xdr:row>
      <xdr:rowOff>19050</xdr:rowOff>
    </xdr:from>
    <xdr:ext cx="5715000" cy="35337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190500</xdr:colOff>
      <xdr:row>113</xdr:row>
      <xdr:rowOff>28575</xdr:rowOff>
    </xdr:from>
    <xdr:ext cx="5715000" cy="353377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190500</xdr:colOff>
      <xdr:row>131</xdr:row>
      <xdr:rowOff>38100</xdr:rowOff>
    </xdr:from>
    <xdr:ext cx="5715000" cy="3533775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15" max="15" width="13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3">
        <v>1.0</v>
      </c>
      <c r="B2" s="4">
        <v>73.8</v>
      </c>
      <c r="C2" s="4">
        <v>107010.0</v>
      </c>
      <c r="D2" s="5">
        <f t="shared" ref="D2:D42" si="1">B2^2</f>
        <v>5446.44</v>
      </c>
      <c r="E2" s="5">
        <f t="shared" ref="E2:E42" si="2">B2-$B$43</f>
        <v>12.62560976</v>
      </c>
      <c r="F2" s="5">
        <f t="shared" ref="F2:F42" si="3">E2^2</f>
        <v>159.4060217</v>
      </c>
      <c r="G2" s="5">
        <f t="shared" ref="G2:G42" si="4">C2-$C$43</f>
        <v>-47563.78049</v>
      </c>
      <c r="H2" s="5">
        <f t="shared" ref="H2:H42" si="5">G2^2</f>
        <v>2262313214</v>
      </c>
      <c r="I2" s="5">
        <f t="shared" ref="I2:I42" si="6">E2*G2</f>
        <v>-600521.731</v>
      </c>
      <c r="J2" s="5">
        <f t="shared" ref="J2:J42" si="7">$B$46+$B$45*B2</f>
        <v>178206.4332</v>
      </c>
      <c r="K2" s="5">
        <f t="shared" ref="K2:K42" si="8">C2-J2</f>
        <v>-71196.43317</v>
      </c>
      <c r="L2" s="5">
        <f t="shared" ref="L2:L42" si="9">K2^2</f>
        <v>5068932095</v>
      </c>
      <c r="M2" s="5">
        <f t="shared" ref="M2:M42" si="10">L2/(COUNT($A$2:$A$42)-2)</f>
        <v>129972617.8</v>
      </c>
    </row>
    <row r="3">
      <c r="A3" s="3">
        <v>2.0</v>
      </c>
      <c r="B3" s="4">
        <v>98.1</v>
      </c>
      <c r="C3" s="4">
        <v>235000.0</v>
      </c>
      <c r="D3" s="5">
        <f t="shared" si="1"/>
        <v>9623.61</v>
      </c>
      <c r="E3" s="5">
        <f t="shared" si="2"/>
        <v>36.92560976</v>
      </c>
      <c r="F3" s="5">
        <f t="shared" si="3"/>
        <v>1363.500656</v>
      </c>
      <c r="G3" s="5">
        <f t="shared" si="4"/>
        <v>80426.21951</v>
      </c>
      <c r="H3" s="5">
        <f t="shared" si="5"/>
        <v>6468376785</v>
      </c>
      <c r="I3" s="5">
        <f t="shared" si="6"/>
        <v>2969787.196</v>
      </c>
      <c r="J3" s="5">
        <f t="shared" si="7"/>
        <v>223691.2431</v>
      </c>
      <c r="K3" s="5">
        <f t="shared" si="8"/>
        <v>11308.7569</v>
      </c>
      <c r="L3" s="5">
        <f t="shared" si="9"/>
        <v>127887982.6</v>
      </c>
      <c r="M3" s="5">
        <f t="shared" si="10"/>
        <v>3279179.042</v>
      </c>
    </row>
    <row r="4">
      <c r="A4" s="3">
        <v>3.0</v>
      </c>
      <c r="B4" s="4">
        <v>76.9</v>
      </c>
      <c r="C4" s="4">
        <v>169000.0</v>
      </c>
      <c r="D4" s="5">
        <f t="shared" si="1"/>
        <v>5913.61</v>
      </c>
      <c r="E4" s="5">
        <f t="shared" si="2"/>
        <v>15.72560976</v>
      </c>
      <c r="F4" s="5">
        <f t="shared" si="3"/>
        <v>247.2948022</v>
      </c>
      <c r="G4" s="5">
        <f t="shared" si="4"/>
        <v>14426.21951</v>
      </c>
      <c r="H4" s="5">
        <f t="shared" si="5"/>
        <v>208115809.4</v>
      </c>
      <c r="I4" s="5">
        <f t="shared" si="6"/>
        <v>226861.0983</v>
      </c>
      <c r="J4" s="5">
        <f t="shared" si="7"/>
        <v>184009.0221</v>
      </c>
      <c r="K4" s="5">
        <f t="shared" si="8"/>
        <v>-15009.02209</v>
      </c>
      <c r="L4" s="5">
        <f t="shared" si="9"/>
        <v>225270744</v>
      </c>
      <c r="M4" s="5">
        <f t="shared" si="10"/>
        <v>5776172.923</v>
      </c>
    </row>
    <row r="5">
      <c r="A5" s="3">
        <v>4.0</v>
      </c>
      <c r="B5" s="6">
        <v>45.0</v>
      </c>
      <c r="C5" s="4">
        <v>74000.0</v>
      </c>
      <c r="D5" s="5">
        <f t="shared" si="1"/>
        <v>2025</v>
      </c>
      <c r="E5" s="5">
        <f t="shared" si="2"/>
        <v>-16.17439024</v>
      </c>
      <c r="F5" s="5">
        <f t="shared" si="3"/>
        <v>261.6108998</v>
      </c>
      <c r="G5" s="5">
        <f t="shared" si="4"/>
        <v>-80573.78049</v>
      </c>
      <c r="H5" s="5">
        <f t="shared" si="5"/>
        <v>6492134102</v>
      </c>
      <c r="I5" s="5">
        <f t="shared" si="6"/>
        <v>1303231.769</v>
      </c>
      <c r="J5" s="5">
        <f t="shared" si="7"/>
        <v>124298.5103</v>
      </c>
      <c r="K5" s="5">
        <f t="shared" si="8"/>
        <v>-50298.51028</v>
      </c>
      <c r="L5" s="5">
        <f t="shared" si="9"/>
        <v>2529940136</v>
      </c>
      <c r="M5" s="5">
        <f t="shared" si="10"/>
        <v>64870259.91</v>
      </c>
    </row>
    <row r="6">
      <c r="A6" s="3">
        <v>5.0</v>
      </c>
      <c r="B6" s="6">
        <v>55.6</v>
      </c>
      <c r="C6" s="4">
        <v>108000.0</v>
      </c>
      <c r="D6" s="5">
        <f t="shared" si="1"/>
        <v>3091.36</v>
      </c>
      <c r="E6" s="5">
        <f t="shared" si="2"/>
        <v>-5.574390244</v>
      </c>
      <c r="F6" s="5">
        <f t="shared" si="3"/>
        <v>31.07382659</v>
      </c>
      <c r="G6" s="5">
        <f t="shared" si="4"/>
        <v>-46573.78049</v>
      </c>
      <c r="H6" s="5">
        <f t="shared" si="5"/>
        <v>2169117029</v>
      </c>
      <c r="I6" s="5">
        <f t="shared" si="6"/>
        <v>259620.4276</v>
      </c>
      <c r="J6" s="5">
        <f t="shared" si="7"/>
        <v>144139.6208</v>
      </c>
      <c r="K6" s="5">
        <f t="shared" si="8"/>
        <v>-36139.62079</v>
      </c>
      <c r="L6" s="5">
        <f t="shared" si="9"/>
        <v>1306072191</v>
      </c>
      <c r="M6" s="5">
        <f t="shared" si="10"/>
        <v>33489030.53</v>
      </c>
    </row>
    <row r="7">
      <c r="A7" s="3">
        <v>6.0</v>
      </c>
      <c r="B7" s="6">
        <v>122.0</v>
      </c>
      <c r="C7" s="4">
        <v>498000.0</v>
      </c>
      <c r="D7" s="5">
        <f t="shared" si="1"/>
        <v>14884</v>
      </c>
      <c r="E7" s="5">
        <f t="shared" si="2"/>
        <v>60.82560976</v>
      </c>
      <c r="F7" s="5">
        <f t="shared" si="3"/>
        <v>3699.754802</v>
      </c>
      <c r="G7" s="5">
        <f t="shared" si="4"/>
        <v>343426.2195</v>
      </c>
      <c r="H7" s="5">
        <f t="shared" si="5"/>
        <v>117941568248</v>
      </c>
      <c r="I7" s="5">
        <f t="shared" si="6"/>
        <v>20889109.21</v>
      </c>
      <c r="J7" s="5">
        <f t="shared" si="7"/>
        <v>268427.3319</v>
      </c>
      <c r="K7" s="5">
        <f t="shared" si="8"/>
        <v>229572.6681</v>
      </c>
      <c r="L7" s="5">
        <f t="shared" si="9"/>
        <v>52703609947</v>
      </c>
      <c r="M7" s="5">
        <f t="shared" si="10"/>
        <v>1351374614</v>
      </c>
    </row>
    <row r="8">
      <c r="A8" s="3">
        <v>7.0</v>
      </c>
      <c r="B8" s="6">
        <v>48.9</v>
      </c>
      <c r="C8" s="6">
        <v>99900.0</v>
      </c>
      <c r="D8" s="5">
        <f t="shared" si="1"/>
        <v>2391.21</v>
      </c>
      <c r="E8" s="5">
        <f t="shared" si="2"/>
        <v>-12.27439024</v>
      </c>
      <c r="F8" s="5">
        <f t="shared" si="3"/>
        <v>150.6606559</v>
      </c>
      <c r="G8" s="5">
        <f t="shared" si="4"/>
        <v>-54673.78049</v>
      </c>
      <c r="H8" s="5">
        <f t="shared" si="5"/>
        <v>2989222273</v>
      </c>
      <c r="I8" s="5">
        <f t="shared" si="6"/>
        <v>671087.3178</v>
      </c>
      <c r="J8" s="5">
        <f t="shared" si="7"/>
        <v>131598.5415</v>
      </c>
      <c r="K8" s="5">
        <f t="shared" si="8"/>
        <v>-31698.5415</v>
      </c>
      <c r="L8" s="5">
        <f t="shared" si="9"/>
        <v>1004797533</v>
      </c>
      <c r="M8" s="5">
        <f t="shared" si="10"/>
        <v>25764039.32</v>
      </c>
    </row>
    <row r="9">
      <c r="A9" s="3">
        <v>8.0</v>
      </c>
      <c r="B9" s="6">
        <v>41.15</v>
      </c>
      <c r="C9" s="6">
        <v>876415.0</v>
      </c>
      <c r="D9" s="5">
        <f t="shared" si="1"/>
        <v>1693.3225</v>
      </c>
      <c r="E9" s="5">
        <f t="shared" si="2"/>
        <v>-20.02439024</v>
      </c>
      <c r="F9" s="5">
        <f t="shared" si="3"/>
        <v>400.9762046</v>
      </c>
      <c r="G9" s="5">
        <f t="shared" si="4"/>
        <v>721841.2195</v>
      </c>
      <c r="H9" s="5">
        <f t="shared" si="5"/>
        <v>521054746187</v>
      </c>
      <c r="I9" s="5">
        <f t="shared" si="6"/>
        <v>-14454430.27</v>
      </c>
      <c r="J9" s="5">
        <f t="shared" si="7"/>
        <v>117092.0692</v>
      </c>
      <c r="K9" s="5">
        <f t="shared" si="8"/>
        <v>759322.9308</v>
      </c>
      <c r="L9" s="5">
        <f t="shared" si="9"/>
        <v>576571313239</v>
      </c>
      <c r="M9" s="5">
        <f t="shared" si="10"/>
        <v>14783879827</v>
      </c>
    </row>
    <row r="10">
      <c r="A10" s="3">
        <v>9.0</v>
      </c>
      <c r="B10" s="6">
        <v>42.1</v>
      </c>
      <c r="C10" s="6">
        <v>121000.0</v>
      </c>
      <c r="D10" s="5">
        <f t="shared" si="1"/>
        <v>1772.41</v>
      </c>
      <c r="E10" s="5">
        <f t="shared" si="2"/>
        <v>-19.07439024</v>
      </c>
      <c r="F10" s="5">
        <f t="shared" si="3"/>
        <v>363.8323632</v>
      </c>
      <c r="G10" s="5">
        <f t="shared" si="4"/>
        <v>-33573.78049</v>
      </c>
      <c r="H10" s="5">
        <f t="shared" si="5"/>
        <v>1127198736</v>
      </c>
      <c r="I10" s="5">
        <f t="shared" si="6"/>
        <v>640399.391</v>
      </c>
      <c r="J10" s="5">
        <f t="shared" si="7"/>
        <v>118870.2819</v>
      </c>
      <c r="K10" s="5">
        <f t="shared" si="8"/>
        <v>2129.718066</v>
      </c>
      <c r="L10" s="5">
        <f t="shared" si="9"/>
        <v>4535699.04</v>
      </c>
      <c r="M10" s="5">
        <f t="shared" si="10"/>
        <v>116299.9754</v>
      </c>
    </row>
    <row r="11">
      <c r="A11" s="3">
        <v>10.0</v>
      </c>
      <c r="B11" s="6">
        <v>175.6</v>
      </c>
      <c r="C11" s="6">
        <v>320000.0</v>
      </c>
      <c r="D11" s="5">
        <f t="shared" si="1"/>
        <v>30835.36</v>
      </c>
      <c r="E11" s="5">
        <f t="shared" si="2"/>
        <v>114.4256098</v>
      </c>
      <c r="F11" s="5">
        <f t="shared" si="3"/>
        <v>13093.22017</v>
      </c>
      <c r="G11" s="5">
        <f t="shared" si="4"/>
        <v>165426.2195</v>
      </c>
      <c r="H11" s="5">
        <f t="shared" si="5"/>
        <v>27365834102</v>
      </c>
      <c r="I11" s="5">
        <f t="shared" si="6"/>
        <v>18928996.04</v>
      </c>
      <c r="J11" s="5">
        <f t="shared" si="7"/>
        <v>368755.9661</v>
      </c>
      <c r="K11" s="5">
        <f t="shared" si="8"/>
        <v>-48755.96614</v>
      </c>
      <c r="L11" s="5">
        <f t="shared" si="9"/>
        <v>2377144234</v>
      </c>
      <c r="M11" s="5">
        <f t="shared" si="10"/>
        <v>60952416.26</v>
      </c>
    </row>
    <row r="12">
      <c r="A12" s="3">
        <v>11.0</v>
      </c>
      <c r="B12" s="6">
        <v>56.6</v>
      </c>
      <c r="C12" s="6">
        <v>97900.0</v>
      </c>
      <c r="D12" s="5">
        <f t="shared" si="1"/>
        <v>3203.56</v>
      </c>
      <c r="E12" s="5">
        <f t="shared" si="2"/>
        <v>-4.574390244</v>
      </c>
      <c r="F12" s="5">
        <f t="shared" si="3"/>
        <v>20.9250461</v>
      </c>
      <c r="G12" s="5">
        <f t="shared" si="4"/>
        <v>-56673.78049</v>
      </c>
      <c r="H12" s="5">
        <f t="shared" si="5"/>
        <v>3211917395</v>
      </c>
      <c r="I12" s="5">
        <f t="shared" si="6"/>
        <v>259247.9885</v>
      </c>
      <c r="J12" s="5">
        <f t="shared" si="7"/>
        <v>146011.4237</v>
      </c>
      <c r="K12" s="5">
        <f t="shared" si="8"/>
        <v>-48111.42366</v>
      </c>
      <c r="L12" s="5">
        <f t="shared" si="9"/>
        <v>2314709087</v>
      </c>
      <c r="M12" s="5">
        <f t="shared" si="10"/>
        <v>59351515.05</v>
      </c>
    </row>
    <row r="13">
      <c r="A13" s="3">
        <v>12.0</v>
      </c>
      <c r="B13" s="6">
        <v>79.3</v>
      </c>
      <c r="C13" s="6">
        <v>135000.0</v>
      </c>
      <c r="D13" s="5">
        <f t="shared" si="1"/>
        <v>6288.49</v>
      </c>
      <c r="E13" s="5">
        <f t="shared" si="2"/>
        <v>18.12560976</v>
      </c>
      <c r="F13" s="5">
        <f t="shared" si="3"/>
        <v>328.537729</v>
      </c>
      <c r="G13" s="5">
        <f t="shared" si="4"/>
        <v>-19573.78049</v>
      </c>
      <c r="H13" s="5">
        <f t="shared" si="5"/>
        <v>383132882.6</v>
      </c>
      <c r="I13" s="5">
        <f t="shared" si="6"/>
        <v>-354786.7066</v>
      </c>
      <c r="J13" s="5">
        <f t="shared" si="7"/>
        <v>188501.349</v>
      </c>
      <c r="K13" s="5">
        <f t="shared" si="8"/>
        <v>-53501.34899</v>
      </c>
      <c r="L13" s="5">
        <f t="shared" si="9"/>
        <v>2862394344</v>
      </c>
      <c r="M13" s="5">
        <f t="shared" si="10"/>
        <v>73394726.77</v>
      </c>
    </row>
    <row r="14">
      <c r="A14" s="3">
        <v>13.0</v>
      </c>
      <c r="B14" s="6">
        <v>32.2</v>
      </c>
      <c r="C14" s="6">
        <v>112900.0</v>
      </c>
      <c r="D14" s="5">
        <f t="shared" si="1"/>
        <v>1036.84</v>
      </c>
      <c r="E14" s="5">
        <f t="shared" si="2"/>
        <v>-28.97439024</v>
      </c>
      <c r="F14" s="5">
        <f t="shared" si="3"/>
        <v>839.51529</v>
      </c>
      <c r="G14" s="5">
        <f t="shared" si="4"/>
        <v>-41673.78049</v>
      </c>
      <c r="H14" s="5">
        <f t="shared" si="5"/>
        <v>1736703980</v>
      </c>
      <c r="I14" s="5">
        <f t="shared" si="6"/>
        <v>1207472.379</v>
      </c>
      <c r="J14" s="5">
        <f t="shared" si="7"/>
        <v>100339.4334</v>
      </c>
      <c r="K14" s="5">
        <f t="shared" si="8"/>
        <v>12560.56656</v>
      </c>
      <c r="L14" s="5">
        <f t="shared" si="9"/>
        <v>157767832.2</v>
      </c>
      <c r="M14" s="5">
        <f t="shared" si="10"/>
        <v>4045329.032</v>
      </c>
      <c r="O14" s="7" t="s">
        <v>13</v>
      </c>
    </row>
    <row r="15">
      <c r="A15" s="3">
        <v>14.0</v>
      </c>
      <c r="B15" s="6">
        <v>107.7</v>
      </c>
      <c r="C15" s="6">
        <v>235000.0</v>
      </c>
      <c r="D15" s="5">
        <f t="shared" si="1"/>
        <v>11599.29</v>
      </c>
      <c r="E15" s="5">
        <f t="shared" si="2"/>
        <v>46.52560976</v>
      </c>
      <c r="F15" s="5">
        <f t="shared" si="3"/>
        <v>2164.632363</v>
      </c>
      <c r="G15" s="5">
        <f t="shared" si="4"/>
        <v>80426.21951</v>
      </c>
      <c r="H15" s="5">
        <f t="shared" si="5"/>
        <v>6468376785</v>
      </c>
      <c r="I15" s="5">
        <f t="shared" si="6"/>
        <v>3741878.903</v>
      </c>
      <c r="J15" s="5">
        <f t="shared" si="7"/>
        <v>241660.5507</v>
      </c>
      <c r="K15" s="5">
        <f t="shared" si="8"/>
        <v>-6660.550728</v>
      </c>
      <c r="L15" s="5">
        <f t="shared" si="9"/>
        <v>44362936</v>
      </c>
      <c r="M15" s="5">
        <f t="shared" si="10"/>
        <v>1137511.179</v>
      </c>
    </row>
    <row r="16">
      <c r="A16" s="3">
        <v>15.0</v>
      </c>
      <c r="B16" s="6">
        <v>65.5</v>
      </c>
      <c r="C16" s="6">
        <v>218000.0</v>
      </c>
      <c r="D16" s="5">
        <f t="shared" si="1"/>
        <v>4290.25</v>
      </c>
      <c r="E16" s="5">
        <f t="shared" si="2"/>
        <v>4.325609756</v>
      </c>
      <c r="F16" s="5">
        <f t="shared" si="3"/>
        <v>18.71089976</v>
      </c>
      <c r="G16" s="5">
        <f t="shared" si="4"/>
        <v>63426.21951</v>
      </c>
      <c r="H16" s="5">
        <f t="shared" si="5"/>
        <v>4022885322</v>
      </c>
      <c r="I16" s="5">
        <f t="shared" si="6"/>
        <v>274357.0739</v>
      </c>
      <c r="J16" s="5">
        <f t="shared" si="7"/>
        <v>162670.4693</v>
      </c>
      <c r="K16" s="5">
        <f t="shared" si="8"/>
        <v>55329.53072</v>
      </c>
      <c r="L16" s="5">
        <f t="shared" si="9"/>
        <v>3061356970</v>
      </c>
      <c r="M16" s="5">
        <f t="shared" si="10"/>
        <v>78496332.56</v>
      </c>
    </row>
    <row r="17">
      <c r="A17" s="3">
        <v>16.0</v>
      </c>
      <c r="B17" s="6">
        <v>35.3</v>
      </c>
      <c r="C17" s="6">
        <v>63000.0</v>
      </c>
      <c r="D17" s="5">
        <f t="shared" si="1"/>
        <v>1246.09</v>
      </c>
      <c r="E17" s="5">
        <f t="shared" si="2"/>
        <v>-25.87439024</v>
      </c>
      <c r="F17" s="5">
        <f t="shared" si="3"/>
        <v>669.4840705</v>
      </c>
      <c r="G17" s="5">
        <f t="shared" si="4"/>
        <v>-91573.78049</v>
      </c>
      <c r="H17" s="5">
        <f t="shared" si="5"/>
        <v>8385757273</v>
      </c>
      <c r="I17" s="5">
        <f t="shared" si="6"/>
        <v>2369415.732</v>
      </c>
      <c r="J17" s="5">
        <f t="shared" si="7"/>
        <v>106142.0224</v>
      </c>
      <c r="K17" s="5">
        <f t="shared" si="8"/>
        <v>-43142.02236</v>
      </c>
      <c r="L17" s="5">
        <f t="shared" si="9"/>
        <v>1861234094</v>
      </c>
      <c r="M17" s="5">
        <f t="shared" si="10"/>
        <v>47723951.12</v>
      </c>
    </row>
    <row r="18">
      <c r="A18" s="3">
        <v>17.0</v>
      </c>
      <c r="B18" s="6">
        <v>45.8</v>
      </c>
      <c r="C18" s="6">
        <v>84000.0</v>
      </c>
      <c r="D18" s="5">
        <f t="shared" si="1"/>
        <v>2097.64</v>
      </c>
      <c r="E18" s="5">
        <f t="shared" si="2"/>
        <v>-15.37439024</v>
      </c>
      <c r="F18" s="5">
        <f t="shared" si="3"/>
        <v>236.3718754</v>
      </c>
      <c r="G18" s="5">
        <f t="shared" si="4"/>
        <v>-70573.78049</v>
      </c>
      <c r="H18" s="5">
        <f t="shared" si="5"/>
        <v>4980658492</v>
      </c>
      <c r="I18" s="5">
        <f t="shared" si="6"/>
        <v>1085028.842</v>
      </c>
      <c r="J18" s="5">
        <f t="shared" si="7"/>
        <v>125795.9526</v>
      </c>
      <c r="K18" s="5">
        <f t="shared" si="8"/>
        <v>-41795.95258</v>
      </c>
      <c r="L18" s="5">
        <f t="shared" si="9"/>
        <v>1746901652</v>
      </c>
      <c r="M18" s="5">
        <f t="shared" si="10"/>
        <v>44792350.06</v>
      </c>
    </row>
    <row r="19">
      <c r="A19" s="3">
        <v>18.0</v>
      </c>
      <c r="B19" s="6">
        <v>94.2</v>
      </c>
      <c r="C19" s="6">
        <v>189000.0</v>
      </c>
      <c r="D19" s="5">
        <f t="shared" si="1"/>
        <v>8873.64</v>
      </c>
      <c r="E19" s="5">
        <f t="shared" si="2"/>
        <v>33.02560976</v>
      </c>
      <c r="F19" s="5">
        <f t="shared" si="3"/>
        <v>1090.6909</v>
      </c>
      <c r="G19" s="5">
        <f t="shared" si="4"/>
        <v>34426.21951</v>
      </c>
      <c r="H19" s="5">
        <f t="shared" si="5"/>
        <v>1185164590</v>
      </c>
      <c r="I19" s="5">
        <f t="shared" si="6"/>
        <v>1136946.891</v>
      </c>
      <c r="J19" s="5">
        <f t="shared" si="7"/>
        <v>216391.2119</v>
      </c>
      <c r="K19" s="5">
        <f t="shared" si="8"/>
        <v>-27391.21188</v>
      </c>
      <c r="L19" s="5">
        <f t="shared" si="9"/>
        <v>750278488</v>
      </c>
      <c r="M19" s="5">
        <f t="shared" si="10"/>
        <v>19237909.95</v>
      </c>
    </row>
    <row r="20">
      <c r="A20" s="3">
        <v>19.0</v>
      </c>
      <c r="B20" s="6">
        <v>58.3</v>
      </c>
      <c r="C20" s="6">
        <v>129000.0</v>
      </c>
      <c r="D20" s="5">
        <f t="shared" si="1"/>
        <v>3398.89</v>
      </c>
      <c r="E20" s="5">
        <f t="shared" si="2"/>
        <v>-2.874390244</v>
      </c>
      <c r="F20" s="5">
        <f t="shared" si="3"/>
        <v>8.262119274</v>
      </c>
      <c r="G20" s="5">
        <f t="shared" si="4"/>
        <v>-25573.78049</v>
      </c>
      <c r="H20" s="5">
        <f t="shared" si="5"/>
        <v>654018248.4</v>
      </c>
      <c r="I20" s="5">
        <f t="shared" si="6"/>
        <v>73509.02513</v>
      </c>
      <c r="J20" s="5">
        <f t="shared" si="7"/>
        <v>149193.4886</v>
      </c>
      <c r="K20" s="5">
        <f t="shared" si="8"/>
        <v>-20193.48856</v>
      </c>
      <c r="L20" s="5">
        <f t="shared" si="9"/>
        <v>407776980.1</v>
      </c>
      <c r="M20" s="5">
        <f t="shared" si="10"/>
        <v>10455820</v>
      </c>
    </row>
    <row r="21">
      <c r="A21" s="3">
        <v>20.0</v>
      </c>
      <c r="B21" s="6">
        <v>58.2</v>
      </c>
      <c r="C21" s="6">
        <v>104900.0</v>
      </c>
      <c r="D21" s="5">
        <f t="shared" si="1"/>
        <v>3387.24</v>
      </c>
      <c r="E21" s="5">
        <f t="shared" si="2"/>
        <v>-2.974390244</v>
      </c>
      <c r="F21" s="5">
        <f t="shared" si="3"/>
        <v>8.846997323</v>
      </c>
      <c r="G21" s="5">
        <f t="shared" si="4"/>
        <v>-49673.78049</v>
      </c>
      <c r="H21" s="5">
        <f t="shared" si="5"/>
        <v>2467484468</v>
      </c>
      <c r="I21" s="5">
        <f t="shared" si="6"/>
        <v>147749.2081</v>
      </c>
      <c r="J21" s="5">
        <f t="shared" si="7"/>
        <v>149006.3083</v>
      </c>
      <c r="K21" s="5">
        <f t="shared" si="8"/>
        <v>-44106.30827</v>
      </c>
      <c r="L21" s="5">
        <f t="shared" si="9"/>
        <v>1945366429</v>
      </c>
      <c r="M21" s="5">
        <f t="shared" si="10"/>
        <v>49881190.49</v>
      </c>
    </row>
    <row r="22">
      <c r="A22" s="3">
        <f>A21+1</f>
        <v>21</v>
      </c>
      <c r="B22" s="8">
        <v>133.1</v>
      </c>
      <c r="C22" s="8">
        <v>284900.0</v>
      </c>
      <c r="D22" s="5">
        <f t="shared" si="1"/>
        <v>17715.61</v>
      </c>
      <c r="E22" s="5">
        <f t="shared" si="2"/>
        <v>71.92560976</v>
      </c>
      <c r="F22" s="5">
        <f t="shared" si="3"/>
        <v>5173.293339</v>
      </c>
      <c r="G22" s="5">
        <f t="shared" si="4"/>
        <v>130326.2195</v>
      </c>
      <c r="H22" s="5">
        <f t="shared" si="5"/>
        <v>16984923492</v>
      </c>
      <c r="I22" s="5">
        <f t="shared" si="6"/>
        <v>9373792.806</v>
      </c>
      <c r="J22" s="5">
        <f t="shared" si="7"/>
        <v>289204.3438</v>
      </c>
      <c r="K22" s="5">
        <f t="shared" si="8"/>
        <v>-4304.343828</v>
      </c>
      <c r="L22" s="5">
        <f t="shared" si="9"/>
        <v>18527375.79</v>
      </c>
      <c r="M22" s="5">
        <f t="shared" si="10"/>
        <v>475060.9176</v>
      </c>
    </row>
    <row r="23">
      <c r="A23" s="3">
        <v>22.0</v>
      </c>
      <c r="B23" s="8">
        <v>63.5</v>
      </c>
      <c r="C23" s="8">
        <v>132700.0</v>
      </c>
      <c r="D23" s="5">
        <f t="shared" si="1"/>
        <v>4032.25</v>
      </c>
      <c r="E23" s="5">
        <f t="shared" si="2"/>
        <v>2.325609756</v>
      </c>
      <c r="F23" s="5">
        <f t="shared" si="3"/>
        <v>5.408460738</v>
      </c>
      <c r="G23" s="5">
        <f t="shared" si="4"/>
        <v>-21873.78049</v>
      </c>
      <c r="H23" s="5">
        <f t="shared" si="5"/>
        <v>478462272.8</v>
      </c>
      <c r="I23" s="5">
        <f t="shared" si="6"/>
        <v>-50869.87731</v>
      </c>
      <c r="J23" s="5">
        <f t="shared" si="7"/>
        <v>158926.8635</v>
      </c>
      <c r="K23" s="5">
        <f t="shared" si="8"/>
        <v>-26226.86352</v>
      </c>
      <c r="L23" s="5">
        <f t="shared" si="9"/>
        <v>687848370.2</v>
      </c>
      <c r="M23" s="5">
        <f t="shared" si="10"/>
        <v>17637137.7</v>
      </c>
    </row>
    <row r="24">
      <c r="A24" s="3">
        <v>23.0</v>
      </c>
      <c r="B24" s="8">
        <v>55.6</v>
      </c>
      <c r="C24" s="8">
        <v>144900.0</v>
      </c>
      <c r="D24" s="5">
        <f t="shared" si="1"/>
        <v>3091.36</v>
      </c>
      <c r="E24" s="5">
        <f t="shared" si="2"/>
        <v>-5.574390244</v>
      </c>
      <c r="F24" s="5">
        <f t="shared" si="3"/>
        <v>31.07382659</v>
      </c>
      <c r="G24" s="5">
        <f t="shared" si="4"/>
        <v>-9673.780488</v>
      </c>
      <c r="H24" s="5">
        <f t="shared" si="5"/>
        <v>93582028.93</v>
      </c>
      <c r="I24" s="5">
        <f t="shared" si="6"/>
        <v>53925.42757</v>
      </c>
      <c r="J24" s="5">
        <f t="shared" si="7"/>
        <v>144139.6208</v>
      </c>
      <c r="K24" s="5">
        <f t="shared" si="8"/>
        <v>760.3792136</v>
      </c>
      <c r="L24" s="5">
        <f t="shared" si="9"/>
        <v>578176.5484</v>
      </c>
      <c r="M24" s="5">
        <f t="shared" si="10"/>
        <v>14825.0397</v>
      </c>
    </row>
    <row r="25">
      <c r="A25" s="3">
        <v>24.0</v>
      </c>
      <c r="B25" s="8">
        <v>61.0</v>
      </c>
      <c r="C25" s="8">
        <v>117500.0</v>
      </c>
      <c r="D25" s="5">
        <f t="shared" si="1"/>
        <v>3721</v>
      </c>
      <c r="E25" s="5">
        <f t="shared" si="2"/>
        <v>-0.1743902439</v>
      </c>
      <c r="F25" s="5">
        <f t="shared" si="3"/>
        <v>0.03041195717</v>
      </c>
      <c r="G25" s="5">
        <f t="shared" si="4"/>
        <v>-37073.78049</v>
      </c>
      <c r="H25" s="5">
        <f t="shared" si="5"/>
        <v>1374465200</v>
      </c>
      <c r="I25" s="5">
        <f t="shared" si="6"/>
        <v>6465.305622</v>
      </c>
      <c r="J25" s="5">
        <f t="shared" si="7"/>
        <v>154247.3563</v>
      </c>
      <c r="K25" s="5">
        <f t="shared" si="8"/>
        <v>-36747.35633</v>
      </c>
      <c r="L25" s="5">
        <f t="shared" si="9"/>
        <v>1350368197</v>
      </c>
      <c r="M25" s="5">
        <f t="shared" si="10"/>
        <v>34624825.57</v>
      </c>
    </row>
    <row r="26">
      <c r="A26" s="3">
        <v>25.0</v>
      </c>
      <c r="B26" s="8">
        <v>35.2</v>
      </c>
      <c r="C26" s="8">
        <v>87500.0</v>
      </c>
      <c r="D26" s="5">
        <f t="shared" si="1"/>
        <v>1239.04</v>
      </c>
      <c r="E26" s="5">
        <f t="shared" si="2"/>
        <v>-25.97439024</v>
      </c>
      <c r="F26" s="5">
        <f t="shared" si="3"/>
        <v>674.6689485</v>
      </c>
      <c r="G26" s="5">
        <f t="shared" si="4"/>
        <v>-67073.78049</v>
      </c>
      <c r="H26" s="5">
        <f t="shared" si="5"/>
        <v>4498892029</v>
      </c>
      <c r="I26" s="5">
        <f t="shared" si="6"/>
        <v>1742200.55</v>
      </c>
      <c r="J26" s="5">
        <f t="shared" si="7"/>
        <v>105954.8421</v>
      </c>
      <c r="K26" s="5">
        <f t="shared" si="8"/>
        <v>-18454.84208</v>
      </c>
      <c r="L26" s="5">
        <f t="shared" si="9"/>
        <v>340581196.1</v>
      </c>
      <c r="M26" s="5">
        <f t="shared" si="10"/>
        <v>8732851.181</v>
      </c>
    </row>
    <row r="27">
      <c r="A27" s="3">
        <v>26.0</v>
      </c>
      <c r="B27" s="8">
        <v>34.9</v>
      </c>
      <c r="C27" s="8">
        <v>65000.0</v>
      </c>
      <c r="D27" s="5">
        <f t="shared" si="1"/>
        <v>1218.01</v>
      </c>
      <c r="E27" s="5">
        <f t="shared" si="2"/>
        <v>-26.27439024</v>
      </c>
      <c r="F27" s="5">
        <f t="shared" si="3"/>
        <v>690.3435827</v>
      </c>
      <c r="G27" s="5">
        <f t="shared" si="4"/>
        <v>-89573.78049</v>
      </c>
      <c r="H27" s="5">
        <f t="shared" si="5"/>
        <v>8023462151</v>
      </c>
      <c r="I27" s="5">
        <f t="shared" si="6"/>
        <v>2353496.464</v>
      </c>
      <c r="J27" s="5">
        <f t="shared" si="7"/>
        <v>105393.3012</v>
      </c>
      <c r="K27" s="5">
        <f t="shared" si="8"/>
        <v>-40393.30121</v>
      </c>
      <c r="L27" s="5">
        <f t="shared" si="9"/>
        <v>1631618783</v>
      </c>
      <c r="M27" s="5">
        <f t="shared" si="10"/>
        <v>41836379.05</v>
      </c>
    </row>
    <row r="28">
      <c r="A28" s="3">
        <v>27.0</v>
      </c>
      <c r="B28" s="8">
        <v>32.0</v>
      </c>
      <c r="C28" s="8">
        <v>63700.0</v>
      </c>
      <c r="D28" s="5">
        <f t="shared" si="1"/>
        <v>1024</v>
      </c>
      <c r="E28" s="5">
        <f t="shared" si="2"/>
        <v>-29.17439024</v>
      </c>
      <c r="F28" s="5">
        <f t="shared" si="3"/>
        <v>851.1450461</v>
      </c>
      <c r="G28" s="5">
        <f t="shared" si="4"/>
        <v>-90873.78049</v>
      </c>
      <c r="H28" s="5">
        <f t="shared" si="5"/>
        <v>8258043980</v>
      </c>
      <c r="I28" s="5">
        <f t="shared" si="6"/>
        <v>2651187.135</v>
      </c>
      <c r="J28" s="5">
        <f t="shared" si="7"/>
        <v>99965.07287</v>
      </c>
      <c r="K28" s="5">
        <f t="shared" si="8"/>
        <v>-36265.07287</v>
      </c>
      <c r="L28" s="5">
        <f t="shared" si="9"/>
        <v>1315155510</v>
      </c>
      <c r="M28" s="5">
        <f t="shared" si="10"/>
        <v>33721936.15</v>
      </c>
    </row>
    <row r="29" ht="18.75" customHeight="1">
      <c r="A29" s="3">
        <v>28.0</v>
      </c>
      <c r="B29" s="8">
        <v>34.6</v>
      </c>
      <c r="C29" s="8">
        <v>87500.0</v>
      </c>
      <c r="D29" s="5">
        <f t="shared" si="1"/>
        <v>1197.16</v>
      </c>
      <c r="E29" s="5">
        <f t="shared" si="2"/>
        <v>-26.57439024</v>
      </c>
      <c r="F29" s="5">
        <f t="shared" si="3"/>
        <v>706.1982168</v>
      </c>
      <c r="G29" s="5">
        <f t="shared" si="4"/>
        <v>-67073.78049</v>
      </c>
      <c r="H29" s="5">
        <f t="shared" si="5"/>
        <v>4498892029</v>
      </c>
      <c r="I29" s="5">
        <f t="shared" si="6"/>
        <v>1782444.818</v>
      </c>
      <c r="J29" s="5">
        <f t="shared" si="7"/>
        <v>104831.7603</v>
      </c>
      <c r="K29" s="5">
        <f t="shared" si="8"/>
        <v>-17331.76035</v>
      </c>
      <c r="L29" s="5">
        <f t="shared" si="9"/>
        <v>300389916.8</v>
      </c>
      <c r="M29" s="5">
        <f t="shared" si="10"/>
        <v>7702305.559</v>
      </c>
    </row>
    <row r="30">
      <c r="A30" s="3">
        <v>29.0</v>
      </c>
      <c r="B30" s="8">
        <v>44.9</v>
      </c>
      <c r="C30" s="8">
        <v>77900.0</v>
      </c>
      <c r="D30" s="5">
        <f t="shared" si="1"/>
        <v>2016.01</v>
      </c>
      <c r="E30" s="5">
        <f t="shared" si="2"/>
        <v>-16.27439024</v>
      </c>
      <c r="F30" s="5">
        <f t="shared" si="3"/>
        <v>264.8557778</v>
      </c>
      <c r="G30" s="5">
        <f t="shared" si="4"/>
        <v>-76673.78049</v>
      </c>
      <c r="H30" s="5">
        <f t="shared" si="5"/>
        <v>5878868614</v>
      </c>
      <c r="I30" s="5">
        <f t="shared" si="6"/>
        <v>1247819.025</v>
      </c>
      <c r="J30" s="5">
        <f t="shared" si="7"/>
        <v>124111.33</v>
      </c>
      <c r="K30" s="5">
        <f t="shared" si="8"/>
        <v>-46211.32999</v>
      </c>
      <c r="L30" s="5">
        <f t="shared" si="9"/>
        <v>2135487020</v>
      </c>
      <c r="M30" s="5">
        <f t="shared" si="10"/>
        <v>54756077.43</v>
      </c>
    </row>
    <row r="31">
      <c r="A31" s="3">
        <v>30.0</v>
      </c>
      <c r="B31" s="8">
        <v>90.3</v>
      </c>
      <c r="C31" s="8">
        <v>190000.0</v>
      </c>
      <c r="D31" s="5">
        <f t="shared" si="1"/>
        <v>8154.09</v>
      </c>
      <c r="E31" s="5">
        <f t="shared" si="2"/>
        <v>29.12560976</v>
      </c>
      <c r="F31" s="5">
        <f t="shared" si="3"/>
        <v>848.3011437</v>
      </c>
      <c r="G31" s="5">
        <f t="shared" si="4"/>
        <v>35426.21951</v>
      </c>
      <c r="H31" s="5">
        <f t="shared" si="5"/>
        <v>1255017029</v>
      </c>
      <c r="I31" s="5">
        <f t="shared" si="6"/>
        <v>1031810.245</v>
      </c>
      <c r="J31" s="5">
        <f t="shared" si="7"/>
        <v>209091.1807</v>
      </c>
      <c r="K31" s="5">
        <f t="shared" si="8"/>
        <v>-19091.18065</v>
      </c>
      <c r="L31" s="5">
        <f t="shared" si="9"/>
        <v>364473178.7</v>
      </c>
      <c r="M31" s="5">
        <f t="shared" si="10"/>
        <v>9345466.12</v>
      </c>
    </row>
    <row r="32">
      <c r="A32" s="3">
        <v>31.0</v>
      </c>
      <c r="B32" s="8">
        <v>26.1</v>
      </c>
      <c r="C32" s="8">
        <v>87000.0</v>
      </c>
      <c r="D32" s="5">
        <f t="shared" si="1"/>
        <v>681.21</v>
      </c>
      <c r="E32" s="5">
        <f t="shared" si="2"/>
        <v>-35.07439024</v>
      </c>
      <c r="F32" s="5">
        <f t="shared" si="3"/>
        <v>1230.212851</v>
      </c>
      <c r="G32" s="5">
        <f t="shared" si="4"/>
        <v>-67573.78049</v>
      </c>
      <c r="H32" s="5">
        <f t="shared" si="5"/>
        <v>4566215809</v>
      </c>
      <c r="I32" s="5">
        <f t="shared" si="6"/>
        <v>2370109.147</v>
      </c>
      <c r="J32" s="5">
        <f t="shared" si="7"/>
        <v>88921.43589</v>
      </c>
      <c r="K32" s="5">
        <f t="shared" si="8"/>
        <v>-1921.435887</v>
      </c>
      <c r="L32" s="5">
        <f t="shared" si="9"/>
        <v>3691915.867</v>
      </c>
      <c r="M32" s="5">
        <f t="shared" si="10"/>
        <v>94664.50942</v>
      </c>
    </row>
    <row r="33">
      <c r="A33" s="3">
        <v>32.0</v>
      </c>
      <c r="B33" s="8">
        <v>39.5</v>
      </c>
      <c r="C33" s="8">
        <v>109000.0</v>
      </c>
      <c r="D33" s="5">
        <f t="shared" si="1"/>
        <v>1560.25</v>
      </c>
      <c r="E33" s="5">
        <f t="shared" si="2"/>
        <v>-21.67439024</v>
      </c>
      <c r="F33" s="5">
        <f t="shared" si="3"/>
        <v>469.7791924</v>
      </c>
      <c r="G33" s="5">
        <f t="shared" si="4"/>
        <v>-45573.78049</v>
      </c>
      <c r="H33" s="5">
        <f t="shared" si="5"/>
        <v>2076969468</v>
      </c>
      <c r="I33" s="5">
        <f t="shared" si="6"/>
        <v>987783.9032</v>
      </c>
      <c r="J33" s="5">
        <f t="shared" si="7"/>
        <v>114003.5945</v>
      </c>
      <c r="K33" s="5">
        <f t="shared" si="8"/>
        <v>-5003.594451</v>
      </c>
      <c r="L33" s="5">
        <f t="shared" si="9"/>
        <v>25035957.43</v>
      </c>
      <c r="M33" s="5">
        <f t="shared" si="10"/>
        <v>641947.6265</v>
      </c>
    </row>
    <row r="34">
      <c r="A34" s="3">
        <v>33.0</v>
      </c>
      <c r="B34" s="8">
        <v>68.4</v>
      </c>
      <c r="C34" s="8">
        <v>130000.0</v>
      </c>
      <c r="D34" s="5">
        <f t="shared" si="1"/>
        <v>4678.56</v>
      </c>
      <c r="E34" s="5">
        <f t="shared" si="2"/>
        <v>7.225609756</v>
      </c>
      <c r="F34" s="5">
        <f t="shared" si="3"/>
        <v>52.20943635</v>
      </c>
      <c r="G34" s="5">
        <f t="shared" si="4"/>
        <v>-24573.78049</v>
      </c>
      <c r="H34" s="5">
        <f t="shared" si="5"/>
        <v>603870687.5</v>
      </c>
      <c r="I34" s="5">
        <f t="shared" si="6"/>
        <v>-177560.548</v>
      </c>
      <c r="J34" s="5">
        <f t="shared" si="7"/>
        <v>168098.6976</v>
      </c>
      <c r="K34" s="5">
        <f t="shared" si="8"/>
        <v>-38098.69762</v>
      </c>
      <c r="L34" s="5">
        <f t="shared" si="9"/>
        <v>1451510761</v>
      </c>
      <c r="M34" s="5">
        <f t="shared" si="10"/>
        <v>37218224.63</v>
      </c>
    </row>
    <row r="35">
      <c r="A35" s="3">
        <v>34.0</v>
      </c>
      <c r="B35" s="8">
        <v>49.9</v>
      </c>
      <c r="C35" s="8">
        <v>104000.0</v>
      </c>
      <c r="D35" s="5">
        <f t="shared" si="1"/>
        <v>2490.01</v>
      </c>
      <c r="E35" s="5">
        <f t="shared" si="2"/>
        <v>-11.27439024</v>
      </c>
      <c r="F35" s="5">
        <f t="shared" si="3"/>
        <v>127.1118754</v>
      </c>
      <c r="G35" s="5">
        <f t="shared" si="4"/>
        <v>-50573.78049</v>
      </c>
      <c r="H35" s="5">
        <f t="shared" si="5"/>
        <v>2557707273</v>
      </c>
      <c r="I35" s="5">
        <f t="shared" si="6"/>
        <v>570188.5373</v>
      </c>
      <c r="J35" s="5">
        <f t="shared" si="7"/>
        <v>133470.3444</v>
      </c>
      <c r="K35" s="5">
        <f t="shared" si="8"/>
        <v>-29470.34438</v>
      </c>
      <c r="L35" s="5">
        <f t="shared" si="9"/>
        <v>868501198</v>
      </c>
      <c r="M35" s="5">
        <f t="shared" si="10"/>
        <v>22269261.49</v>
      </c>
    </row>
    <row r="36">
      <c r="A36" s="3">
        <v>35.0</v>
      </c>
      <c r="B36" s="8">
        <v>57.1</v>
      </c>
      <c r="C36" s="8">
        <v>135000.0</v>
      </c>
      <c r="D36" s="5">
        <f t="shared" si="1"/>
        <v>3260.41</v>
      </c>
      <c r="E36" s="5">
        <f t="shared" si="2"/>
        <v>-4.074390244</v>
      </c>
      <c r="F36" s="5">
        <f t="shared" si="3"/>
        <v>16.60065586</v>
      </c>
      <c r="G36" s="5">
        <f t="shared" si="4"/>
        <v>-19573.78049</v>
      </c>
      <c r="H36" s="5">
        <f t="shared" si="5"/>
        <v>383132882.6</v>
      </c>
      <c r="I36" s="5">
        <f t="shared" si="6"/>
        <v>79751.22026</v>
      </c>
      <c r="J36" s="5">
        <f t="shared" si="7"/>
        <v>146947.3251</v>
      </c>
      <c r="K36" s="5">
        <f t="shared" si="8"/>
        <v>-11947.3251</v>
      </c>
      <c r="L36" s="5">
        <f t="shared" si="9"/>
        <v>142738577.1</v>
      </c>
      <c r="M36" s="5">
        <f t="shared" si="10"/>
        <v>3659963.516</v>
      </c>
    </row>
    <row r="37">
      <c r="A37" s="3">
        <v>36.0</v>
      </c>
      <c r="B37" s="8">
        <v>37.5</v>
      </c>
      <c r="C37" s="8">
        <v>93000.0</v>
      </c>
      <c r="D37" s="5">
        <f t="shared" si="1"/>
        <v>1406.25</v>
      </c>
      <c r="E37" s="5">
        <f t="shared" si="2"/>
        <v>-23.67439024</v>
      </c>
      <c r="F37" s="5">
        <f t="shared" si="3"/>
        <v>560.4767534</v>
      </c>
      <c r="G37" s="5">
        <f t="shared" si="4"/>
        <v>-61573.78049</v>
      </c>
      <c r="H37" s="5">
        <f t="shared" si="5"/>
        <v>3791330444</v>
      </c>
      <c r="I37" s="5">
        <f t="shared" si="6"/>
        <v>1457721.708</v>
      </c>
      <c r="J37" s="5">
        <f t="shared" si="7"/>
        <v>110259.9887</v>
      </c>
      <c r="K37" s="5">
        <f t="shared" si="8"/>
        <v>-17259.9887</v>
      </c>
      <c r="L37" s="5">
        <f t="shared" si="9"/>
        <v>297907209.8</v>
      </c>
      <c r="M37" s="5">
        <f t="shared" si="10"/>
        <v>7638646.404</v>
      </c>
    </row>
    <row r="38">
      <c r="A38" s="3">
        <v>37.0</v>
      </c>
      <c r="B38" s="8">
        <v>60.0</v>
      </c>
      <c r="C38" s="8">
        <v>112000.0</v>
      </c>
      <c r="D38" s="5">
        <f t="shared" si="1"/>
        <v>3600</v>
      </c>
      <c r="E38" s="5">
        <f t="shared" si="2"/>
        <v>-1.174390244</v>
      </c>
      <c r="F38" s="5">
        <f t="shared" si="3"/>
        <v>1.379192445</v>
      </c>
      <c r="G38" s="5">
        <f t="shared" si="4"/>
        <v>-42573.78049</v>
      </c>
      <c r="H38" s="5">
        <f t="shared" si="5"/>
        <v>1812526785</v>
      </c>
      <c r="I38" s="5">
        <f t="shared" si="6"/>
        <v>49998.23245</v>
      </c>
      <c r="J38" s="5">
        <f t="shared" si="7"/>
        <v>152375.5534</v>
      </c>
      <c r="K38" s="5">
        <f t="shared" si="8"/>
        <v>-40375.55345</v>
      </c>
      <c r="L38" s="5">
        <f t="shared" si="9"/>
        <v>1630185316</v>
      </c>
      <c r="M38" s="5">
        <f t="shared" si="10"/>
        <v>41799623.5</v>
      </c>
    </row>
    <row r="39">
      <c r="A39" s="3">
        <v>38.0</v>
      </c>
      <c r="B39" s="8">
        <v>30.3</v>
      </c>
      <c r="C39" s="8">
        <v>58000.0</v>
      </c>
      <c r="D39" s="5">
        <f t="shared" si="1"/>
        <v>918.09</v>
      </c>
      <c r="E39" s="5">
        <f t="shared" si="2"/>
        <v>-30.87439024</v>
      </c>
      <c r="F39" s="5">
        <f t="shared" si="3"/>
        <v>953.2279729</v>
      </c>
      <c r="G39" s="5">
        <f t="shared" si="4"/>
        <v>-96573.78049</v>
      </c>
      <c r="H39" s="5">
        <f t="shared" si="5"/>
        <v>9326495078</v>
      </c>
      <c r="I39" s="5">
        <f t="shared" si="6"/>
        <v>2981656.586</v>
      </c>
      <c r="J39" s="5">
        <f t="shared" si="7"/>
        <v>96783.00797</v>
      </c>
      <c r="K39" s="5">
        <f t="shared" si="8"/>
        <v>-38783.00797</v>
      </c>
      <c r="L39" s="5">
        <f t="shared" si="9"/>
        <v>1504121708</v>
      </c>
      <c r="M39" s="5">
        <f t="shared" si="10"/>
        <v>38567223.27</v>
      </c>
    </row>
    <row r="40">
      <c r="A40" s="3">
        <v>39.0</v>
      </c>
      <c r="B40" s="8">
        <v>33.3</v>
      </c>
      <c r="C40" s="8">
        <v>64900.0</v>
      </c>
      <c r="D40" s="5">
        <f t="shared" si="1"/>
        <v>1108.89</v>
      </c>
      <c r="E40" s="5">
        <f t="shared" si="2"/>
        <v>-27.87439024</v>
      </c>
      <c r="F40" s="5">
        <f t="shared" si="3"/>
        <v>776.9816315</v>
      </c>
      <c r="G40" s="5">
        <f t="shared" si="4"/>
        <v>-89673.78049</v>
      </c>
      <c r="H40" s="5">
        <f t="shared" si="5"/>
        <v>8041386907</v>
      </c>
      <c r="I40" s="5">
        <f t="shared" si="6"/>
        <v>2499601.952</v>
      </c>
      <c r="J40" s="5">
        <f t="shared" si="7"/>
        <v>102398.4166</v>
      </c>
      <c r="K40" s="5">
        <f t="shared" si="8"/>
        <v>-37498.41661</v>
      </c>
      <c r="L40" s="5">
        <f t="shared" si="9"/>
        <v>1406131248</v>
      </c>
      <c r="M40" s="5">
        <f t="shared" si="10"/>
        <v>36054647.39</v>
      </c>
    </row>
    <row r="41">
      <c r="A41" s="3">
        <v>40.0</v>
      </c>
      <c r="B41" s="8">
        <v>58.9</v>
      </c>
      <c r="C41" s="8">
        <v>115000.0</v>
      </c>
      <c r="D41" s="5">
        <f t="shared" si="1"/>
        <v>3469.21</v>
      </c>
      <c r="E41" s="5">
        <f t="shared" si="2"/>
        <v>-2.274390244</v>
      </c>
      <c r="F41" s="5">
        <f t="shared" si="3"/>
        <v>5.172850982</v>
      </c>
      <c r="G41" s="5">
        <f t="shared" si="4"/>
        <v>-39573.78049</v>
      </c>
      <c r="H41" s="5">
        <f t="shared" si="5"/>
        <v>1566084102</v>
      </c>
      <c r="I41" s="5">
        <f t="shared" si="6"/>
        <v>90006.22026</v>
      </c>
      <c r="J41" s="5">
        <f t="shared" si="7"/>
        <v>150316.5703</v>
      </c>
      <c r="K41" s="5">
        <f t="shared" si="8"/>
        <v>-35316.57028</v>
      </c>
      <c r="L41" s="5">
        <f t="shared" si="9"/>
        <v>1247260137</v>
      </c>
      <c r="M41" s="5">
        <f t="shared" si="10"/>
        <v>31981029.14</v>
      </c>
    </row>
    <row r="42">
      <c r="A42" s="3">
        <v>41.0</v>
      </c>
      <c r="B42" s="8">
        <v>49.8</v>
      </c>
      <c r="C42" s="8">
        <v>101000.0</v>
      </c>
      <c r="D42" s="5">
        <f t="shared" si="1"/>
        <v>2480.04</v>
      </c>
      <c r="E42" s="5">
        <f t="shared" si="2"/>
        <v>-11.37439024</v>
      </c>
      <c r="F42" s="5">
        <f t="shared" si="3"/>
        <v>129.3767534</v>
      </c>
      <c r="G42" s="5">
        <f t="shared" si="4"/>
        <v>-53573.78049</v>
      </c>
      <c r="H42" s="5">
        <f t="shared" si="5"/>
        <v>2870149956</v>
      </c>
      <c r="I42" s="5">
        <f t="shared" si="6"/>
        <v>609369.0861</v>
      </c>
      <c r="J42" s="5">
        <f t="shared" si="7"/>
        <v>133283.1641</v>
      </c>
      <c r="K42" s="5">
        <f t="shared" si="8"/>
        <v>-32283.16409</v>
      </c>
      <c r="L42" s="5">
        <f t="shared" si="9"/>
        <v>1042202684</v>
      </c>
      <c r="M42" s="5">
        <f t="shared" si="10"/>
        <v>26723145.74</v>
      </c>
    </row>
    <row r="43">
      <c r="A43" s="9" t="s">
        <v>14</v>
      </c>
      <c r="B43" s="10">
        <f t="shared" ref="B43:M43" si="11">AVERAGE(B2:B42)</f>
        <v>61.17439024</v>
      </c>
      <c r="C43" s="10">
        <f t="shared" si="11"/>
        <v>154573.7805</v>
      </c>
      <c r="D43" s="10">
        <f t="shared" si="11"/>
        <v>4686.822012</v>
      </c>
      <c r="E43" s="11">
        <f t="shared" si="11"/>
        <v>0</v>
      </c>
      <c r="F43" s="10">
        <f t="shared" si="11"/>
        <v>944.5159905</v>
      </c>
      <c r="G43" s="11">
        <f t="shared" si="11"/>
        <v>0</v>
      </c>
      <c r="H43" s="10">
        <f t="shared" si="11"/>
        <v>19768663516</v>
      </c>
      <c r="I43" s="10">
        <f t="shared" si="11"/>
        <v>1767947.749</v>
      </c>
      <c r="J43" s="10">
        <f t="shared" si="11"/>
        <v>154573.7805</v>
      </c>
      <c r="K43" s="11">
        <f t="shared" si="11"/>
        <v>0</v>
      </c>
      <c r="L43" s="10">
        <f t="shared" si="11"/>
        <v>16459413830</v>
      </c>
      <c r="M43" s="10">
        <f t="shared" si="11"/>
        <v>422036252.1</v>
      </c>
    </row>
    <row r="44">
      <c r="A44" s="9" t="s">
        <v>15</v>
      </c>
      <c r="B44" s="10">
        <f t="shared" ref="B44:M44" si="12">SUM(B2:B42)</f>
        <v>2508.15</v>
      </c>
      <c r="C44" s="10">
        <f t="shared" si="12"/>
        <v>6337525</v>
      </c>
      <c r="D44" s="10">
        <f t="shared" si="12"/>
        <v>192159.7025</v>
      </c>
      <c r="E44" s="11">
        <f t="shared" si="12"/>
        <v>0</v>
      </c>
      <c r="F44" s="10">
        <f t="shared" si="12"/>
        <v>38725.15561</v>
      </c>
      <c r="G44" s="11">
        <f t="shared" si="12"/>
        <v>-0.0000000008149072528</v>
      </c>
      <c r="H44" s="10">
        <f t="shared" si="12"/>
        <v>810515204139</v>
      </c>
      <c r="I44" s="10">
        <f t="shared" si="12"/>
        <v>72485857.72</v>
      </c>
      <c r="J44" s="10">
        <f t="shared" si="12"/>
        <v>6337525</v>
      </c>
      <c r="K44" s="11">
        <f t="shared" si="12"/>
        <v>0.0000000005238689482</v>
      </c>
      <c r="L44" s="10">
        <f t="shared" si="12"/>
        <v>674835967049</v>
      </c>
      <c r="M44" s="10">
        <f t="shared" si="12"/>
        <v>17303486335</v>
      </c>
    </row>
    <row r="45">
      <c r="A45" s="9" t="s">
        <v>16</v>
      </c>
      <c r="B45" s="10">
        <f>I44/F44</f>
        <v>1871.802878</v>
      </c>
    </row>
    <row r="46">
      <c r="A46" s="9" t="s">
        <v>17</v>
      </c>
      <c r="B46" s="10">
        <f>C43-B43*B45</f>
        <v>40067.38077</v>
      </c>
    </row>
    <row r="47">
      <c r="A47" s="12" t="s">
        <v>18</v>
      </c>
      <c r="B47" s="13">
        <f>M44</f>
        <v>17303486335</v>
      </c>
    </row>
    <row r="48">
      <c r="A48" s="12" t="s">
        <v>19</v>
      </c>
      <c r="B48" s="10">
        <f>B47/(COUNT(A2:A42)*(D43-B43^2))</f>
        <v>446828.0647</v>
      </c>
    </row>
    <row r="49">
      <c r="A49" s="12" t="s">
        <v>20</v>
      </c>
      <c r="B49" s="10">
        <f>B48*D43</f>
        <v>2094203609</v>
      </c>
    </row>
    <row r="50">
      <c r="L50" s="8">
        <v>26.1</v>
      </c>
    </row>
    <row r="51">
      <c r="L51" s="8">
        <v>30.3</v>
      </c>
    </row>
    <row r="52">
      <c r="A52" s="9" t="s">
        <v>21</v>
      </c>
      <c r="L52" s="8">
        <v>32.0</v>
      </c>
    </row>
    <row r="53">
      <c r="A53" s="9" t="s">
        <v>22</v>
      </c>
      <c r="B53" s="9">
        <v>0.9</v>
      </c>
      <c r="D53" s="14">
        <f t="shared" ref="D53:D55" si="13">TINV(1-B53,COUNT($A$2:$A$42)-2)</f>
        <v>1.684875122</v>
      </c>
      <c r="L53" s="6">
        <v>32.2</v>
      </c>
    </row>
    <row r="54">
      <c r="A54" s="9" t="s">
        <v>22</v>
      </c>
      <c r="B54" s="9">
        <v>0.95</v>
      </c>
      <c r="D54" s="14">
        <f t="shared" si="13"/>
        <v>2.02269092</v>
      </c>
      <c r="L54" s="8">
        <v>33.3</v>
      </c>
    </row>
    <row r="55">
      <c r="A55" s="9" t="s">
        <v>22</v>
      </c>
      <c r="B55" s="9">
        <v>0.99</v>
      </c>
      <c r="D55" s="14">
        <f t="shared" si="13"/>
        <v>2.707913184</v>
      </c>
      <c r="L55" s="8">
        <v>34.6</v>
      </c>
    </row>
    <row r="56">
      <c r="L56" s="8">
        <v>34.9</v>
      </c>
    </row>
    <row r="57">
      <c r="A57" s="9" t="s">
        <v>23</v>
      </c>
      <c r="L57" s="8">
        <v>35.2</v>
      </c>
    </row>
    <row r="58">
      <c r="A58" s="9" t="s">
        <v>24</v>
      </c>
      <c r="B58" s="10">
        <f>B45/SQRT(B48)</f>
        <v>2.800205403</v>
      </c>
      <c r="C58" s="15" t="s">
        <v>25</v>
      </c>
      <c r="D58" s="10">
        <f t="shared" ref="D58:D60" si="14">$B$45-SQRT($B$48)*D53</f>
        <v>745.5447478</v>
      </c>
      <c r="E58" s="10">
        <f t="shared" ref="E58:E60" si="15">$B$45+SQRT($B$48)*D53</f>
        <v>2998.061008</v>
      </c>
      <c r="L58" s="6">
        <v>35.3</v>
      </c>
    </row>
    <row r="59">
      <c r="D59" s="10">
        <f t="shared" si="14"/>
        <v>519.7311047</v>
      </c>
      <c r="E59" s="10">
        <f t="shared" si="15"/>
        <v>3223.874651</v>
      </c>
      <c r="L59" s="8">
        <v>37.5</v>
      </c>
    </row>
    <row r="60">
      <c r="D60" s="10">
        <f t="shared" si="14"/>
        <v>61.6929182</v>
      </c>
      <c r="E60" s="10">
        <f t="shared" si="15"/>
        <v>3681.912838</v>
      </c>
      <c r="L60" s="8">
        <v>39.5</v>
      </c>
    </row>
    <row r="61">
      <c r="L61" s="6">
        <v>41.15</v>
      </c>
    </row>
    <row r="62">
      <c r="L62" s="6">
        <v>42.1</v>
      </c>
    </row>
    <row r="63">
      <c r="A63" s="9" t="s">
        <v>17</v>
      </c>
      <c r="B63" s="10">
        <f>B46/SQRT(B49)</f>
        <v>0.8755511069</v>
      </c>
      <c r="C63" s="16" t="s">
        <v>26</v>
      </c>
      <c r="D63" s="10">
        <f t="shared" ref="D63:D65" si="16">$B$46-SQRT($B$49)*D53</f>
        <v>-37036.66549</v>
      </c>
      <c r="E63" s="10">
        <f t="shared" ref="E63:E65" si="17">$B$46+SQRT($B$49)*D53</f>
        <v>117171.427</v>
      </c>
      <c r="L63" s="8">
        <v>44.9</v>
      </c>
    </row>
    <row r="64">
      <c r="D64" s="10">
        <f t="shared" si="16"/>
        <v>-52495.95064</v>
      </c>
      <c r="E64" s="10">
        <f t="shared" si="17"/>
        <v>132630.7122</v>
      </c>
      <c r="L64" s="6">
        <v>45.0</v>
      </c>
    </row>
    <row r="65">
      <c r="D65" s="10">
        <f t="shared" si="16"/>
        <v>-83853.41353</v>
      </c>
      <c r="E65" s="10">
        <f t="shared" si="17"/>
        <v>163988.1751</v>
      </c>
      <c r="L65" s="6">
        <v>45.8</v>
      </c>
    </row>
    <row r="66">
      <c r="L66" s="6">
        <v>48.9</v>
      </c>
    </row>
    <row r="67">
      <c r="L67" s="8">
        <v>49.8</v>
      </c>
    </row>
    <row r="68">
      <c r="A68" s="9" t="s">
        <v>27</v>
      </c>
      <c r="L68" s="8">
        <v>49.9</v>
      </c>
    </row>
    <row r="69">
      <c r="A69" s="10">
        <f>1-L44/H44</f>
        <v>0.1673987562</v>
      </c>
      <c r="B69" s="17" t="s">
        <v>28</v>
      </c>
      <c r="C69" s="18"/>
      <c r="L69" s="6">
        <v>55.6</v>
      </c>
    </row>
    <row r="70">
      <c r="L70" s="8">
        <v>55.6</v>
      </c>
    </row>
    <row r="71">
      <c r="L71" s="6">
        <v>56.6</v>
      </c>
    </row>
    <row r="72">
      <c r="L72" s="8">
        <v>57.1</v>
      </c>
    </row>
    <row r="73">
      <c r="A73" s="9" t="s">
        <v>29</v>
      </c>
      <c r="L73" s="6">
        <v>58.2</v>
      </c>
    </row>
    <row r="74">
      <c r="A74" s="9" t="s">
        <v>22</v>
      </c>
      <c r="B74" s="9">
        <v>0.9</v>
      </c>
      <c r="D74" s="14">
        <f t="shared" ref="D74:D76" si="18">_xlfn.F.INV.RT(1-B74,2,COUNT($A$2:$A$42)-2)</f>
        <v>2.444043861</v>
      </c>
      <c r="L74" s="6">
        <v>58.3</v>
      </c>
    </row>
    <row r="75">
      <c r="A75" s="9" t="s">
        <v>22</v>
      </c>
      <c r="B75" s="9">
        <v>0.95</v>
      </c>
      <c r="D75" s="14">
        <f t="shared" si="18"/>
        <v>3.238096135</v>
      </c>
      <c r="L75" s="8">
        <v>58.9</v>
      </c>
    </row>
    <row r="76">
      <c r="A76" s="9" t="s">
        <v>22</v>
      </c>
      <c r="B76" s="9">
        <v>0.99</v>
      </c>
      <c r="D76" s="14">
        <f t="shared" si="18"/>
        <v>5.194413383</v>
      </c>
      <c r="L76" s="8">
        <v>60.0</v>
      </c>
    </row>
    <row r="77">
      <c r="L77" s="8">
        <v>61.0</v>
      </c>
    </row>
    <row r="78">
      <c r="A78" s="9" t="s">
        <v>23</v>
      </c>
      <c r="L78" s="8">
        <v>63.5</v>
      </c>
    </row>
    <row r="79">
      <c r="A79" s="10">
        <f>A69 / (1 - A69) * 18</f>
        <v>3.618992447</v>
      </c>
      <c r="B79" s="16" t="s">
        <v>30</v>
      </c>
      <c r="L79" s="6">
        <v>65.5</v>
      </c>
    </row>
    <row r="80">
      <c r="L80" s="8">
        <v>68.4</v>
      </c>
    </row>
    <row r="81">
      <c r="A81" s="1" t="s">
        <v>1</v>
      </c>
      <c r="B81" s="19" t="s">
        <v>31</v>
      </c>
      <c r="C81" s="20" t="s">
        <v>32</v>
      </c>
      <c r="D81" s="20" t="s">
        <v>33</v>
      </c>
      <c r="E81" s="20" t="s">
        <v>34</v>
      </c>
      <c r="F81" s="20" t="s">
        <v>35</v>
      </c>
      <c r="G81" s="20" t="s">
        <v>36</v>
      </c>
      <c r="H81" s="20" t="s">
        <v>37</v>
      </c>
      <c r="L81" s="4">
        <v>73.8</v>
      </c>
    </row>
    <row r="82">
      <c r="A82" s="21">
        <v>26.1</v>
      </c>
      <c r="B82" s="5">
        <f t="shared" ref="B82:B90" si="19">$B$46+$B$45*A82</f>
        <v>88921.43589</v>
      </c>
      <c r="C82" s="5">
        <f t="shared" ref="C82:C90" si="20">$B82-$D$53*SQRT($B$47)*SQRT(1/COUNT($A$2:$A$42)+(($A82-$B$43)^2)/$F$44)</f>
        <v>36399.5277</v>
      </c>
      <c r="D82" s="5">
        <f t="shared" ref="D82:D90" si="21">$B82+$D$53*SQRT($B$47)*SQRT(1/COUNT($A$2:$A$42)+(($A82-$B$43)^2)/$F$44)</f>
        <v>141443.3441</v>
      </c>
      <c r="E82" s="5">
        <f t="shared" ref="E82:E90" si="22">$B82-$D$54*SQRT($B$47)*SQRT(1/COUNT($A$2:$A$42) + (($A82-$B$43)^2)/$F$44)</f>
        <v>25868.93697</v>
      </c>
      <c r="F82" s="5">
        <f t="shared" ref="F82:F90" si="23">$B82+$D$54*SQRT($B$47)*SQRT(1/COUNT($A$2:$A$42) + (($A82-$B$43)^2)/$F$44)</f>
        <v>151973.9348</v>
      </c>
      <c r="G82" s="5">
        <f t="shared" ref="G82:G90" si="24">$B82-$D$55*SQRT($B$47)*SQRT(1/41 + (($A82-$B$43)^2)/$F$44)</f>
        <v>4508.789654</v>
      </c>
      <c r="H82" s="5">
        <f t="shared" ref="H82:H90" si="25">$B82+$D$55*SQRT($B$47)*SQRT(1/41 + (($A82-$B$43)^2)/$F$44)</f>
        <v>173334.0821</v>
      </c>
      <c r="L82" s="4">
        <v>76.9</v>
      </c>
    </row>
    <row r="83">
      <c r="A83" s="21">
        <v>33.3</v>
      </c>
      <c r="B83" s="5">
        <f t="shared" si="19"/>
        <v>102398.4166</v>
      </c>
      <c r="C83" s="5">
        <f t="shared" si="20"/>
        <v>55668.91462</v>
      </c>
      <c r="D83" s="5">
        <f t="shared" si="21"/>
        <v>149127.9186</v>
      </c>
      <c r="E83" s="5">
        <f t="shared" si="22"/>
        <v>46299.69561</v>
      </c>
      <c r="F83" s="5">
        <f t="shared" si="23"/>
        <v>158497.1376</v>
      </c>
      <c r="G83" s="5">
        <f t="shared" si="24"/>
        <v>27295.26335</v>
      </c>
      <c r="H83" s="5">
        <f t="shared" si="25"/>
        <v>177501.5699</v>
      </c>
      <c r="L83" s="6">
        <v>79.3</v>
      </c>
    </row>
    <row r="84">
      <c r="A84" s="21">
        <v>39.5</v>
      </c>
      <c r="B84" s="5">
        <f t="shared" si="19"/>
        <v>114003.5945</v>
      </c>
      <c r="C84" s="5">
        <f t="shared" si="20"/>
        <v>71648.27417</v>
      </c>
      <c r="D84" s="5">
        <f t="shared" si="21"/>
        <v>156358.9147</v>
      </c>
      <c r="E84" s="5">
        <f t="shared" si="22"/>
        <v>63156.07427</v>
      </c>
      <c r="F84" s="5">
        <f t="shared" si="23"/>
        <v>164851.1146</v>
      </c>
      <c r="G84" s="5">
        <f t="shared" si="24"/>
        <v>45930.579</v>
      </c>
      <c r="H84" s="5">
        <f t="shared" si="25"/>
        <v>182076.6099</v>
      </c>
      <c r="L84" s="8">
        <v>90.3</v>
      </c>
    </row>
    <row r="85">
      <c r="A85" s="21">
        <v>45.8</v>
      </c>
      <c r="B85" s="5">
        <f t="shared" si="19"/>
        <v>125795.9526</v>
      </c>
      <c r="C85" s="5">
        <f t="shared" si="20"/>
        <v>87093.16297</v>
      </c>
      <c r="D85" s="5">
        <f t="shared" si="21"/>
        <v>164498.7422</v>
      </c>
      <c r="E85" s="5">
        <f t="shared" si="22"/>
        <v>79333.29187</v>
      </c>
      <c r="F85" s="5">
        <f t="shared" si="23"/>
        <v>172258.6133</v>
      </c>
      <c r="G85" s="5">
        <f t="shared" si="24"/>
        <v>63593.24517</v>
      </c>
      <c r="H85" s="5">
        <f t="shared" si="25"/>
        <v>187998.66</v>
      </c>
      <c r="L85" s="6">
        <v>94.2</v>
      </c>
    </row>
    <row r="86">
      <c r="A86" s="21">
        <v>55.6</v>
      </c>
      <c r="B86" s="5">
        <f t="shared" si="19"/>
        <v>144139.6208</v>
      </c>
      <c r="C86" s="5">
        <f t="shared" si="20"/>
        <v>108961.5865</v>
      </c>
      <c r="D86" s="5">
        <f t="shared" si="21"/>
        <v>179317.6551</v>
      </c>
      <c r="E86" s="5">
        <f t="shared" si="22"/>
        <v>101908.4253</v>
      </c>
      <c r="F86" s="5">
        <f t="shared" si="23"/>
        <v>186370.8163</v>
      </c>
      <c r="G86" s="5">
        <f t="shared" si="24"/>
        <v>87601.86217</v>
      </c>
      <c r="H86" s="5">
        <f t="shared" si="25"/>
        <v>200677.3794</v>
      </c>
      <c r="L86" s="4">
        <v>98.1</v>
      </c>
    </row>
    <row r="87">
      <c r="A87" s="21">
        <v>61.0</v>
      </c>
      <c r="B87" s="5">
        <f t="shared" si="19"/>
        <v>154247.3563</v>
      </c>
      <c r="C87" s="5">
        <f t="shared" si="20"/>
        <v>119633.5318</v>
      </c>
      <c r="D87" s="5">
        <f t="shared" si="21"/>
        <v>188861.1809</v>
      </c>
      <c r="E87" s="5">
        <f t="shared" si="22"/>
        <v>112693.4941</v>
      </c>
      <c r="F87" s="5">
        <f t="shared" si="23"/>
        <v>195801.2185</v>
      </c>
      <c r="G87" s="5">
        <f t="shared" si="24"/>
        <v>98616.38958</v>
      </c>
      <c r="H87" s="5">
        <f t="shared" si="25"/>
        <v>209878.3231</v>
      </c>
      <c r="L87" s="6">
        <v>107.7</v>
      </c>
    </row>
    <row r="88">
      <c r="A88" s="21">
        <v>73.8</v>
      </c>
      <c r="B88" s="5">
        <f t="shared" si="19"/>
        <v>178206.4332</v>
      </c>
      <c r="C88" s="5">
        <f t="shared" si="20"/>
        <v>140786.1443</v>
      </c>
      <c r="D88" s="5">
        <f t="shared" si="21"/>
        <v>215626.722</v>
      </c>
      <c r="E88" s="5">
        <f t="shared" si="22"/>
        <v>133283.4133</v>
      </c>
      <c r="F88" s="5">
        <f t="shared" si="23"/>
        <v>223129.453</v>
      </c>
      <c r="G88" s="5">
        <f t="shared" si="24"/>
        <v>118064.9472</v>
      </c>
      <c r="H88" s="5">
        <f t="shared" si="25"/>
        <v>238347.9192</v>
      </c>
      <c r="L88" s="6">
        <v>122.0</v>
      </c>
    </row>
    <row r="89">
      <c r="A89" s="21">
        <v>98.1</v>
      </c>
      <c r="B89" s="5">
        <f t="shared" si="19"/>
        <v>223691.2431</v>
      </c>
      <c r="C89" s="5">
        <f t="shared" si="20"/>
        <v>169583.7507</v>
      </c>
      <c r="D89" s="5">
        <f t="shared" si="21"/>
        <v>277798.7355</v>
      </c>
      <c r="E89" s="5">
        <f t="shared" si="22"/>
        <v>158735.2518</v>
      </c>
      <c r="F89" s="5">
        <f t="shared" si="23"/>
        <v>288647.2344</v>
      </c>
      <c r="G89" s="5">
        <f t="shared" si="24"/>
        <v>136730.2629</v>
      </c>
      <c r="H89" s="5">
        <f t="shared" si="25"/>
        <v>310652.2233</v>
      </c>
      <c r="L89" s="8">
        <v>133.1</v>
      </c>
    </row>
    <row r="90">
      <c r="A90" s="21">
        <v>175.6</v>
      </c>
      <c r="B90" s="5">
        <f t="shared" si="19"/>
        <v>368755.9661</v>
      </c>
      <c r="C90" s="5">
        <f t="shared" si="20"/>
        <v>235315.8299</v>
      </c>
      <c r="D90" s="5">
        <f t="shared" si="21"/>
        <v>502196.1024</v>
      </c>
      <c r="E90" s="5">
        <f t="shared" si="22"/>
        <v>208561.2143</v>
      </c>
      <c r="F90" s="5">
        <f t="shared" si="23"/>
        <v>528950.718</v>
      </c>
      <c r="G90" s="5">
        <f t="shared" si="24"/>
        <v>154292.4136</v>
      </c>
      <c r="H90" s="5">
        <f t="shared" si="25"/>
        <v>583219.5187</v>
      </c>
      <c r="L90" s="6">
        <v>175.6</v>
      </c>
    </row>
    <row r="234">
      <c r="Q234" s="22"/>
    </row>
    <row r="235">
      <c r="Q235" s="22"/>
    </row>
    <row r="236">
      <c r="Q236" s="22"/>
    </row>
    <row r="237">
      <c r="Q237" s="22"/>
    </row>
    <row r="238">
      <c r="Q238" s="22"/>
    </row>
    <row r="239">
      <c r="Q239" s="22"/>
    </row>
    <row r="240">
      <c r="Q240" s="22"/>
    </row>
    <row r="241">
      <c r="Q241" s="22"/>
    </row>
    <row r="242">
      <c r="Q242" s="22"/>
    </row>
    <row r="243">
      <c r="Q243" s="22"/>
    </row>
    <row r="244">
      <c r="Q244" s="22"/>
    </row>
  </sheetData>
  <drawing r:id="rId1"/>
</worksheet>
</file>