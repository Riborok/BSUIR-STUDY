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<sst xmlns="http://schemas.openxmlformats.org/spreadsheetml/2006/main" count="69" uniqueCount="49">
  <si>
    <t>t</t>
  </si>
  <si>
    <t>x1(t)</t>
  </si>
  <si>
    <t>x2(t)</t>
  </si>
  <si>
    <t>x3(t)</t>
  </si>
  <si>
    <t>y(t)</t>
  </si>
  <si>
    <t>SUMMARY OUTPUT</t>
  </si>
  <si>
    <t xml:space="preserve"> 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</si>
  <si>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</si>
  <si>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</si>
  <si>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</si>
  <si>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</si>
  <si>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</si>
  <si>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</si>
  <si>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</si>
  <si>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</si>
  <si>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</si>
  <si>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</si>
  <si>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</si>
  <si>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</si>
  <si>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</si>
  <si>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</si>
  <si>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</si>
  <si>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</si>
  <si>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</si>
  <si>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</si>
  <si>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</si>
  <si>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Критические значения Стьюдента</t>
  </si>
  <si>
    <t>Intercept</t>
  </si>
  <si>
    <t>квантиль распределения Стьюдента</t>
  </si>
  <si>
    <t>γ =</t>
  </si>
  <si>
    <t>x3 не значим при 0,99</t>
  </si>
  <si>
    <t>x1 левый</t>
  </si>
  <si>
    <t>правый</t>
  </si>
  <si>
    <t>x2 левый</t>
  </si>
  <si>
    <t>x3 левый</t>
  </si>
  <si>
    <t>RESIDUAL OUTPUT</t>
  </si>
  <si>
    <t>y1=0,9</t>
  </si>
  <si>
    <t>y2=0,95</t>
  </si>
  <si>
    <t>Observation</t>
  </si>
  <si>
    <t>Predicted y(t)</t>
  </si>
  <si>
    <t>Residuals</t>
  </si>
  <si>
    <t>y3=0,99</t>
  </si>
  <si>
    <t>R^2=</t>
  </si>
  <si>
    <t>-&gt; модель значима</t>
  </si>
  <si>
    <t>квантиль распределения Фишера</t>
  </si>
  <si>
    <t>F =</t>
  </si>
  <si>
    <t>^y(t)</t>
  </si>
  <si>
    <t>ошибки</t>
  </si>
  <si>
    <t>Ошибки случайны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</si>
</sst>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Border="1" applyFont="1"/>
    <xf borderId="0" fillId="3" fontId="3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Зависимость yt(x1t)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80000"/>
                  </a:srgbClr>
                </a:solidFill>
              </a:ln>
            </c:spPr>
            <c:trendlineType val="linear"/>
            <c:dispRSqr val="1"/>
            <c:dispEq val="1"/>
          </c:trendline>
          <c:yVal>
            <c:numRef>
              <c:f>'Лист1'!$B$2:$B$21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147771"/>
        <c:axId val="1867264032"/>
      </c:scatterChart>
      <c:valAx>
        <c:axId val="1140147771"/>
        <c:scaling>
          <c:orientation val="minMax"/>
          <c:max val="1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264032"/>
      </c:valAx>
      <c:valAx>
        <c:axId val="1867264032"/>
        <c:scaling>
          <c:orientation val="minMax"/>
          <c:max val="2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147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y(t) относительно параметра "x2(t)"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E06666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'Лист1'!$C$2:$C$21</c:f>
            </c:numRef>
          </c:xVal>
          <c:yVal>
            <c:numRef>
              <c:f>'Лист1'!$E$2:$E$21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969377"/>
        <c:axId val="2040664625"/>
      </c:scatterChart>
      <c:valAx>
        <c:axId val="835969377"/>
        <c:scaling>
          <c:orientation val="minMax"/>
          <c:max val="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x2(t)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664625"/>
      </c:valAx>
      <c:valAx>
        <c:axId val="2040664625"/>
        <c:scaling>
          <c:orientation val="minMax"/>
          <c:max val="2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969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y(t) относительно параметра "x3(t)"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CC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'Лист1'!$D$2:$D$21</c:f>
            </c:numRef>
          </c:xVal>
          <c:yVal>
            <c:numRef>
              <c:f>'Лист1'!$E$2:$E$21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16249"/>
        <c:axId val="1363101486"/>
      </c:scatterChart>
      <c:valAx>
        <c:axId val="164916249"/>
        <c:scaling>
          <c:orientation val="minMax"/>
          <c:max val="1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x3(t)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101486"/>
      </c:valAx>
      <c:valAx>
        <c:axId val="1363101486"/>
        <c:scaling>
          <c:orientation val="minMax"/>
          <c:max val="2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16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yt(x1t) + ^yt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'Лист1'!$E$89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'Лист1'!$B$90:$B$109</c:f>
            </c:numRef>
          </c:xVal>
          <c:yVal>
            <c:numRef>
              <c:f>'Лист1'!$E$90:$E$109</c:f>
              <c:numCache/>
            </c:numRef>
          </c:yVal>
        </c:ser>
        <c:ser>
          <c:idx val="1"/>
          <c:order val="1"/>
          <c:tx>
            <c:strRef>
              <c:f>'Лист1'!$F$89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'Лист1'!$B$90:$B$109</c:f>
            </c:numRef>
          </c:xVal>
          <c:yVal>
            <c:numRef>
              <c:f>'Лист1'!$F$90:$F$109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579658"/>
        <c:axId val="379130621"/>
      </c:scatterChart>
      <c:valAx>
        <c:axId val="940579658"/>
        <c:scaling>
          <c:orientation val="minMax"/>
          <c:max val="1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130621"/>
      </c:valAx>
      <c:valAx>
        <c:axId val="379130621"/>
        <c:scaling>
          <c:orientation val="minMax"/>
          <c:max val="2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579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yt(x2t) + ^yt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'Лист1'!$E$89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'Лист1'!$C$90:$C$109</c:f>
            </c:numRef>
          </c:xVal>
          <c:yVal>
            <c:numRef>
              <c:f>'Лист1'!$E$90:$E$109</c:f>
              <c:numCache/>
            </c:numRef>
          </c:yVal>
        </c:ser>
        <c:ser>
          <c:idx val="1"/>
          <c:order val="1"/>
          <c:tx>
            <c:strRef>
              <c:f>'Лист1'!$F$89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'Лист1'!$C$90:$C$109</c:f>
            </c:numRef>
          </c:xVal>
          <c:yVal>
            <c:numRef>
              <c:f>'Лист1'!$F$90:$F$109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994178"/>
        <c:axId val="191428522"/>
      </c:scatterChart>
      <c:valAx>
        <c:axId val="14339941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28522"/>
      </c:valAx>
      <c:valAx>
        <c:axId val="191428522"/>
        <c:scaling>
          <c:orientation val="minMax"/>
          <c:max val="2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994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yt(x3t) + ^yt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'Лист1'!$E$89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'Лист1'!$D$90:$D$109</c:f>
            </c:numRef>
          </c:xVal>
          <c:yVal>
            <c:numRef>
              <c:f>'Лист1'!$E$90:$E$109</c:f>
              <c:numCache/>
            </c:numRef>
          </c:yVal>
        </c:ser>
        <c:ser>
          <c:idx val="1"/>
          <c:order val="1"/>
          <c:tx>
            <c:strRef>
              <c:f>'Лист1'!$F$89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'Лист1'!$D$90:$D$109</c:f>
            </c:numRef>
          </c:xVal>
          <c:yVal>
            <c:numRef>
              <c:f>'Лист1'!$F$90:$F$109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272332"/>
        <c:axId val="255360208"/>
      </c:scatterChart>
      <c:valAx>
        <c:axId val="5522723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360208"/>
      </c:valAx>
      <c:valAx>
        <c:axId val="255360208"/>
        <c:scaling>
          <c:orientation val="minMax"/>
          <c:max val="2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2723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x1 ошибки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'Лист1'!$B$127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'Лист1'!$B$90:$B$109</c:f>
            </c:numRef>
          </c:xVal>
          <c:yVal>
            <c:numRef>
              <c:f>'Лист1'!$B$128:$B$147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56190"/>
        <c:axId val="1103461950"/>
      </c:scatterChart>
      <c:valAx>
        <c:axId val="5007561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461950"/>
      </c:valAx>
      <c:valAx>
        <c:axId val="1103461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756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х2 ошибки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'Лист1'!$B$127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'Лист1'!$C$90:$C$109</c:f>
            </c:numRef>
          </c:xVal>
          <c:yVal>
            <c:numRef>
              <c:f>'Лист1'!$B$128:$B$147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312525"/>
        <c:axId val="919078532"/>
      </c:scatterChart>
      <c:valAx>
        <c:axId val="4663125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078532"/>
      </c:valAx>
      <c:valAx>
        <c:axId val="919078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312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х3 ошибки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'Лист1'!$B$127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'Лист1'!$D$90:$D$109</c:f>
            </c:numRef>
          </c:xVal>
          <c:yVal>
            <c:numRef>
              <c:f>'Лист1'!$B$128:$B$147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322962"/>
        <c:axId val="1043785897"/>
      </c:scatterChart>
      <c:valAx>
        <c:axId val="2323229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785897"/>
      </c:valAx>
      <c:valAx>
        <c:axId val="1043785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322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381000</xdr:colOff>
      <xdr:row>0</xdr:row>
      <xdr:rowOff>57150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485775</xdr:colOff>
      <xdr:row>0</xdr:row>
      <xdr:rowOff>57150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381000</xdr:colOff>
      <xdr:row>17</xdr:row>
      <xdr:rowOff>57150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438150</xdr:colOff>
      <xdr:row>88</xdr:row>
      <xdr:rowOff>47625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657225</xdr:colOff>
      <xdr:row>88</xdr:row>
      <xdr:rowOff>47625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438150</xdr:colOff>
      <xdr:row>105</xdr:row>
      <xdr:rowOff>9525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571500</xdr:colOff>
      <xdr:row>125</xdr:row>
      <xdr:rowOff>152400</xdr:rowOff>
    </xdr:from>
    <xdr:ext cx="57150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447675</xdr:colOff>
      <xdr:row>125</xdr:row>
      <xdr:rowOff>190500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571500</xdr:colOff>
      <xdr:row>143</xdr:row>
      <xdr:rowOff>28575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12.0</v>
      </c>
      <c r="C2" s="2">
        <v>2.0</v>
      </c>
      <c r="D2" s="2">
        <v>8.0</v>
      </c>
      <c r="E2" s="2">
        <v>139.0</v>
      </c>
    </row>
    <row r="3">
      <c r="A3" s="2">
        <v>2.0</v>
      </c>
      <c r="B3" s="2">
        <v>17.0</v>
      </c>
      <c r="C3" s="2">
        <v>5.0</v>
      </c>
      <c r="D3" s="2">
        <v>12.0</v>
      </c>
      <c r="E3" s="2">
        <v>182.0</v>
      </c>
    </row>
    <row r="4">
      <c r="A4" s="2">
        <v>3.0</v>
      </c>
      <c r="B4" s="2">
        <v>14.0</v>
      </c>
      <c r="C4" s="2">
        <v>6.0</v>
      </c>
      <c r="D4" s="2">
        <v>11.0</v>
      </c>
      <c r="E4" s="2">
        <v>164.0</v>
      </c>
    </row>
    <row r="5">
      <c r="A5" s="2">
        <v>4.0</v>
      </c>
      <c r="B5" s="2">
        <v>13.0</v>
      </c>
      <c r="C5" s="2">
        <v>4.0</v>
      </c>
      <c r="D5" s="2">
        <v>9.0</v>
      </c>
      <c r="E5" s="2">
        <v>150.0</v>
      </c>
    </row>
    <row r="6">
      <c r="A6" s="2">
        <v>5.0</v>
      </c>
      <c r="B6" s="2">
        <v>16.0</v>
      </c>
      <c r="C6" s="2">
        <v>3.0</v>
      </c>
      <c r="D6" s="2">
        <v>12.0</v>
      </c>
      <c r="E6" s="2">
        <v>176.0</v>
      </c>
    </row>
    <row r="7">
      <c r="A7" s="2">
        <v>6.0</v>
      </c>
      <c r="B7" s="2">
        <v>15.0</v>
      </c>
      <c r="C7" s="2">
        <v>2.0</v>
      </c>
      <c r="D7" s="2">
        <v>9.0</v>
      </c>
      <c r="E7" s="2">
        <v>168.0</v>
      </c>
    </row>
    <row r="8">
      <c r="A8" s="2">
        <v>7.0</v>
      </c>
      <c r="B8" s="2">
        <v>13.0</v>
      </c>
      <c r="C8" s="2">
        <v>6.0</v>
      </c>
      <c r="D8" s="2">
        <v>10.0</v>
      </c>
      <c r="E8" s="2">
        <v>173.0</v>
      </c>
    </row>
    <row r="9">
      <c r="A9" s="2">
        <v>8.0</v>
      </c>
      <c r="B9" s="2">
        <v>11.0</v>
      </c>
      <c r="C9" s="2">
        <v>5.0</v>
      </c>
      <c r="D9" s="2">
        <v>13.0</v>
      </c>
      <c r="E9" s="2">
        <v>145.0</v>
      </c>
    </row>
    <row r="10">
      <c r="A10" s="2">
        <v>9.0</v>
      </c>
      <c r="B10" s="2">
        <v>15.0</v>
      </c>
      <c r="C10" s="2">
        <v>4.0</v>
      </c>
      <c r="D10" s="2">
        <v>10.0</v>
      </c>
      <c r="E10" s="2">
        <v>175.0</v>
      </c>
    </row>
    <row r="11">
      <c r="A11" s="2">
        <v>10.0</v>
      </c>
      <c r="B11" s="2">
        <v>13.0</v>
      </c>
      <c r="C11" s="2">
        <v>6.0</v>
      </c>
      <c r="D11" s="2">
        <v>11.0</v>
      </c>
      <c r="E11" s="2">
        <v>157.0</v>
      </c>
    </row>
    <row r="12">
      <c r="A12" s="2">
        <v>11.0</v>
      </c>
      <c r="B12" s="2">
        <v>12.0</v>
      </c>
      <c r="C12" s="2">
        <v>5.0</v>
      </c>
      <c r="D12" s="2">
        <v>14.0</v>
      </c>
      <c r="E12" s="2">
        <v>142.0</v>
      </c>
    </row>
    <row r="13">
      <c r="A13" s="2">
        <v>12.0</v>
      </c>
      <c r="B13" s="2">
        <v>15.0</v>
      </c>
      <c r="C13" s="2">
        <v>3.0</v>
      </c>
      <c r="D13" s="2">
        <v>14.0</v>
      </c>
      <c r="E13" s="2">
        <v>151.0</v>
      </c>
    </row>
    <row r="14">
      <c r="A14" s="2">
        <v>13.0</v>
      </c>
      <c r="B14" s="2">
        <v>13.0</v>
      </c>
      <c r="C14" s="2">
        <v>2.0</v>
      </c>
      <c r="D14" s="2">
        <v>8.0</v>
      </c>
      <c r="E14" s="2">
        <v>148.0</v>
      </c>
    </row>
    <row r="15">
      <c r="A15" s="2">
        <v>14.0</v>
      </c>
      <c r="B15" s="2">
        <v>16.0</v>
      </c>
      <c r="C15" s="2">
        <v>5.0</v>
      </c>
      <c r="D15" s="2">
        <v>11.0</v>
      </c>
      <c r="E15" s="2">
        <v>186.0</v>
      </c>
    </row>
    <row r="16">
      <c r="A16" s="2">
        <v>15.0</v>
      </c>
      <c r="B16" s="2">
        <v>17.0</v>
      </c>
      <c r="C16" s="2">
        <v>5.0</v>
      </c>
      <c r="D16" s="2">
        <v>10.0</v>
      </c>
      <c r="E16" s="2">
        <v>201.0</v>
      </c>
    </row>
    <row r="17">
      <c r="A17" s="2">
        <v>16.0</v>
      </c>
      <c r="B17" s="2">
        <v>15.0</v>
      </c>
      <c r="C17" s="2">
        <v>4.0</v>
      </c>
      <c r="D17" s="2">
        <v>13.0</v>
      </c>
      <c r="E17" s="2">
        <v>169.0</v>
      </c>
    </row>
    <row r="18">
      <c r="A18" s="2">
        <v>17.0</v>
      </c>
      <c r="B18" s="2">
        <v>11.0</v>
      </c>
      <c r="C18" s="2">
        <v>5.0</v>
      </c>
      <c r="D18" s="2">
        <v>12.0</v>
      </c>
      <c r="E18" s="2">
        <v>160.0</v>
      </c>
    </row>
    <row r="19">
      <c r="A19" s="2">
        <v>18.0</v>
      </c>
      <c r="B19" s="2">
        <v>14.0</v>
      </c>
      <c r="C19" s="2">
        <v>4.0</v>
      </c>
      <c r="D19" s="2">
        <v>12.0</v>
      </c>
      <c r="E19" s="2">
        <v>151.0</v>
      </c>
      <c r="M19" s="3"/>
    </row>
    <row r="20">
      <c r="A20" s="2">
        <v>19.0</v>
      </c>
      <c r="B20" s="2">
        <v>13.0</v>
      </c>
      <c r="C20" s="2">
        <v>2.0</v>
      </c>
      <c r="D20" s="2">
        <v>14.0</v>
      </c>
      <c r="E20" s="2">
        <v>129.0</v>
      </c>
      <c r="M20" s="4"/>
      <c r="N20" s="5"/>
      <c r="O20" s="5"/>
      <c r="P20" s="5"/>
    </row>
    <row r="21">
      <c r="A21" s="2">
        <v>20.0</v>
      </c>
      <c r="B21" s="2">
        <v>15.0</v>
      </c>
      <c r="C21" s="2">
        <v>3.0</v>
      </c>
      <c r="D21" s="2">
        <v>11.0</v>
      </c>
      <c r="E21" s="2">
        <v>163.0</v>
      </c>
      <c r="M21" s="5"/>
      <c r="N21" s="6"/>
      <c r="O21" s="5"/>
      <c r="P21" s="7"/>
    </row>
    <row r="22">
      <c r="M22" s="5"/>
      <c r="N22" s="6"/>
      <c r="O22" s="5"/>
      <c r="P22" s="7"/>
    </row>
    <row r="23">
      <c r="M23" s="5"/>
      <c r="N23" s="6"/>
      <c r="O23" s="5"/>
      <c r="P23" s="7"/>
    </row>
    <row r="24">
      <c r="M24" s="3"/>
    </row>
    <row r="40">
      <c r="A40" s="8" t="s">
        <v>5</v>
      </c>
    </row>
    <row r="42">
      <c r="A42" s="9" t="s">
        <v>6</v>
      </c>
      <c r="B42" s="10"/>
    </row>
    <row r="43">
      <c r="A43" s="8" t="s">
        <v>7</v>
      </c>
      <c r="B43" s="11">
        <v>0.9136766048232766</v>
      </c>
    </row>
    <row r="44">
      <c r="A44" s="8" t="s">
        <v>8</v>
      </c>
      <c r="B44" s="11">
        <v>0.83480493820139</v>
      </c>
    </row>
    <row r="45">
      <c r="A45" s="8" t="s">
        <v>9</v>
      </c>
      <c r="B45" s="11">
        <v>0.8038308641141507</v>
      </c>
    </row>
    <row r="46">
      <c r="A46" s="8" t="s">
        <v>10</v>
      </c>
      <c r="B46" s="11">
        <v>7.8608372053792355</v>
      </c>
    </row>
    <row r="47">
      <c r="A47" s="12" t="s">
        <v>11</v>
      </c>
      <c r="B47" s="13">
        <v>20.0</v>
      </c>
    </row>
    <row r="49">
      <c r="A49" s="8" t="s">
        <v>12</v>
      </c>
    </row>
    <row r="50">
      <c r="A50" s="10"/>
      <c r="B50" s="9" t="s">
        <v>13</v>
      </c>
      <c r="C50" s="9" t="s">
        <v>14</v>
      </c>
      <c r="D50" s="9" t="s">
        <v>15</v>
      </c>
      <c r="E50" s="9" t="s">
        <v>16</v>
      </c>
      <c r="F50" s="9" t="s">
        <v>17</v>
      </c>
    </row>
    <row r="51">
      <c r="A51" s="8" t="s">
        <v>18</v>
      </c>
      <c r="B51" s="11">
        <v>3.0</v>
      </c>
      <c r="C51" s="11">
        <v>4996.26581488841</v>
      </c>
      <c r="D51" s="11">
        <v>1665.4219382961367</v>
      </c>
      <c r="E51" s="11">
        <v>26.951731820946062</v>
      </c>
      <c r="F51" s="11">
        <v>1.7100917575341157E-6</v>
      </c>
    </row>
    <row r="52">
      <c r="A52" s="8" t="s">
        <v>19</v>
      </c>
      <c r="B52" s="11">
        <v>16.0</v>
      </c>
      <c r="C52" s="11">
        <v>988.6841851115908</v>
      </c>
      <c r="D52" s="11">
        <v>61.79276156947442</v>
      </c>
    </row>
    <row r="53">
      <c r="A53" s="12" t="s">
        <v>20</v>
      </c>
      <c r="B53" s="13">
        <v>19.0</v>
      </c>
      <c r="C53" s="13">
        <v>5984.950000000001</v>
      </c>
      <c r="D53" s="14"/>
      <c r="E53" s="14"/>
      <c r="F53" s="14"/>
    </row>
    <row r="55">
      <c r="A55" s="10"/>
      <c r="B55" s="9" t="s">
        <v>21</v>
      </c>
      <c r="C55" s="9" t="s">
        <v>10</v>
      </c>
      <c r="D55" s="9" t="s">
        <v>22</v>
      </c>
      <c r="E55" s="9" t="s">
        <v>23</v>
      </c>
      <c r="F55" s="9" t="s">
        <v>24</v>
      </c>
      <c r="G55" s="9" t="s">
        <v>25</v>
      </c>
      <c r="H55" s="9" t="s">
        <v>24</v>
      </c>
      <c r="I55" s="9" t="s">
        <v>25</v>
      </c>
      <c r="K55" s="3" t="s">
        <v>26</v>
      </c>
    </row>
    <row r="56">
      <c r="A56" s="8" t="s">
        <v>27</v>
      </c>
      <c r="B56" s="11">
        <v>59.0740478870448</v>
      </c>
      <c r="C56" s="11">
        <v>18.362040046711826</v>
      </c>
      <c r="D56" s="11">
        <v>3.21718326159644</v>
      </c>
      <c r="E56" s="11">
        <v>0.005379838165951633</v>
      </c>
      <c r="F56" s="11">
        <v>20.14826214500041</v>
      </c>
      <c r="G56" s="11">
        <v>97.99983362908918</v>
      </c>
      <c r="H56" s="11">
        <v>20.14826214500041</v>
      </c>
      <c r="I56" s="11">
        <v>97.99983362908918</v>
      </c>
      <c r="K56" s="4" t="s">
        <v>28</v>
      </c>
      <c r="L56" s="5"/>
      <c r="M56" s="5"/>
      <c r="N56" s="5"/>
    </row>
    <row r="57">
      <c r="A57" s="8" t="s">
        <v>1</v>
      </c>
      <c r="B57" s="11">
        <v>7.613297276503889</v>
      </c>
      <c r="C57" s="11">
        <v>0.999469984881918</v>
      </c>
      <c r="D57" s="11">
        <v>7.617334578990243</v>
      </c>
      <c r="E57" s="11">
        <v>1.0411883255461376E-6</v>
      </c>
      <c r="F57" s="11">
        <v>5.494515573155802</v>
      </c>
      <c r="G57" s="11">
        <v>9.732078979851977</v>
      </c>
      <c r="H57" s="11">
        <v>5.494515573155802</v>
      </c>
      <c r="I57" s="11">
        <v>9.732078979851977</v>
      </c>
      <c r="K57" s="5" t="s">
        <v>29</v>
      </c>
      <c r="L57" s="6">
        <v>0.9</v>
      </c>
      <c r="M57" s="5"/>
      <c r="N57" s="15">
        <f t="shared" ref="N57:N59" si="1">TINV(1-L57,COUNT($A$2:$A$21)-1-3)</f>
        <v>1.745883676</v>
      </c>
    </row>
    <row r="58">
      <c r="A58" s="8" t="s">
        <v>2</v>
      </c>
      <c r="B58" s="11">
        <v>6.0904928895444925</v>
      </c>
      <c r="C58" s="11">
        <v>1.3198222734306282</v>
      </c>
      <c r="D58" s="11">
        <v>4.614631084921312</v>
      </c>
      <c r="E58" s="11">
        <v>2.8699076945559835E-4</v>
      </c>
      <c r="F58" s="11">
        <v>3.2925946765766727</v>
      </c>
      <c r="G58" s="11">
        <v>8.888391102512312</v>
      </c>
      <c r="H58" s="11">
        <v>3.2925946765766727</v>
      </c>
      <c r="I58" s="11">
        <v>8.888391102512312</v>
      </c>
      <c r="K58" s="5" t="s">
        <v>29</v>
      </c>
      <c r="L58" s="6">
        <v>0.95</v>
      </c>
      <c r="M58" s="5"/>
      <c r="N58" s="15">
        <f t="shared" si="1"/>
        <v>2.119905299</v>
      </c>
    </row>
    <row r="59">
      <c r="A59" s="12" t="s">
        <v>3</v>
      </c>
      <c r="B59" s="13">
        <v>-2.578277317924517</v>
      </c>
      <c r="C59" s="13">
        <v>0.9782889184230881</v>
      </c>
      <c r="D59" s="13">
        <v>-2.6354968040325586</v>
      </c>
      <c r="E59" s="13">
        <v>0.017993418106717608</v>
      </c>
      <c r="F59" s="13">
        <v>-4.652157166540398</v>
      </c>
      <c r="G59" s="13">
        <v>-0.5043974693086359</v>
      </c>
      <c r="H59" s="13">
        <v>-4.652157166540398</v>
      </c>
      <c r="I59" s="13">
        <v>-0.5043974693086359</v>
      </c>
      <c r="K59" s="5" t="s">
        <v>29</v>
      </c>
      <c r="L59" s="6">
        <v>0.99</v>
      </c>
      <c r="M59" s="5"/>
      <c r="N59" s="15">
        <f t="shared" si="1"/>
        <v>2.920781622</v>
      </c>
    </row>
    <row r="60">
      <c r="K60" s="16" t="s">
        <v>30</v>
      </c>
    </row>
    <row r="62">
      <c r="J62" s="17"/>
      <c r="K62" s="18" t="s">
        <v>31</v>
      </c>
      <c r="L62" s="18" t="s">
        <v>32</v>
      </c>
      <c r="M62" s="18" t="s">
        <v>33</v>
      </c>
      <c r="N62" s="18" t="s">
        <v>32</v>
      </c>
      <c r="O62" s="18" t="s">
        <v>34</v>
      </c>
      <c r="P62" s="18" t="s">
        <v>32</v>
      </c>
    </row>
    <row r="63">
      <c r="A63" s="8" t="s">
        <v>35</v>
      </c>
      <c r="J63" s="18" t="s">
        <v>36</v>
      </c>
      <c r="K63" s="17">
        <f t="shared" ref="K63:K65" si="2">$B$57-$N57*$C$57 * SQRT(20/16)</f>
        <v>5.662374553</v>
      </c>
      <c r="L63" s="17">
        <f t="shared" ref="L63:L65" si="3">$B$57+$N57*$C$57 * SQRT(20/16)</f>
        <v>9.56422</v>
      </c>
      <c r="M63" s="17">
        <f t="shared" ref="M63:M65" si="4">$B$58-$N57*$C$58 * SQRT(20/16)</f>
        <v>3.514256181</v>
      </c>
      <c r="N63" s="17">
        <f t="shared" ref="N63:N65" si="5">$B$58+$N57*$C$58 * SQRT(20/16)</f>
        <v>8.666729598</v>
      </c>
      <c r="O63" s="17">
        <f t="shared" ref="O63:O65" si="6">$B$59-$N57*$C$59 * SQRT(20/16)</f>
        <v>-4.487855504</v>
      </c>
      <c r="P63" s="17">
        <f t="shared" ref="P63:P65" si="7">$B$59+$N57*$C$59 * SQRT(20/16)</f>
        <v>-0.6686991314</v>
      </c>
    </row>
    <row r="64">
      <c r="J64" s="18" t="s">
        <v>37</v>
      </c>
      <c r="K64" s="17">
        <f t="shared" si="2"/>
        <v>5.244427302</v>
      </c>
      <c r="L64" s="17">
        <f t="shared" si="3"/>
        <v>9.982167251</v>
      </c>
      <c r="M64" s="17">
        <f t="shared" si="4"/>
        <v>2.96234757</v>
      </c>
      <c r="N64" s="17">
        <f t="shared" si="5"/>
        <v>9.218638209</v>
      </c>
      <c r="O64" s="17">
        <f t="shared" si="6"/>
        <v>-4.896945493</v>
      </c>
      <c r="P64" s="17">
        <f t="shared" si="7"/>
        <v>-0.2596091433</v>
      </c>
    </row>
    <row r="65">
      <c r="A65" s="9" t="s">
        <v>38</v>
      </c>
      <c r="B65" s="9" t="s">
        <v>39</v>
      </c>
      <c r="C65" s="9" t="s">
        <v>40</v>
      </c>
      <c r="J65" s="18" t="s">
        <v>41</v>
      </c>
      <c r="K65" s="17">
        <f t="shared" si="2"/>
        <v>4.349494931</v>
      </c>
      <c r="L65" s="17">
        <f t="shared" si="3"/>
        <v>10.87709962</v>
      </c>
      <c r="M65" s="17">
        <f t="shared" si="4"/>
        <v>1.780569533</v>
      </c>
      <c r="N65" s="17">
        <f t="shared" si="5"/>
        <v>10.40041625</v>
      </c>
      <c r="O65" s="17">
        <f t="shared" si="6"/>
        <v>-5.772912189</v>
      </c>
      <c r="P65" s="17">
        <f t="shared" si="7"/>
        <v>0.6163575535</v>
      </c>
    </row>
    <row r="66">
      <c r="A66" s="11">
        <v>1.0</v>
      </c>
      <c r="B66" s="11">
        <v>141.98838244078433</v>
      </c>
      <c r="C66" s="11">
        <v>-2.988382440784335</v>
      </c>
    </row>
    <row r="67">
      <c r="A67" s="11">
        <v>2.0</v>
      </c>
      <c r="B67" s="11">
        <v>188.01323822023917</v>
      </c>
      <c r="C67" s="11">
        <v>-6.013238220239174</v>
      </c>
    </row>
    <row r="68">
      <c r="A68" s="11">
        <v>3.0</v>
      </c>
      <c r="B68" s="11">
        <v>173.84211659819653</v>
      </c>
      <c r="C68" s="11">
        <v>-9.842116598196526</v>
      </c>
      <c r="J68" s="8" t="s">
        <v>42</v>
      </c>
      <c r="K68" s="19">
        <f>B45</f>
        <v>0.8038308641</v>
      </c>
      <c r="L68" s="8" t="s">
        <v>43</v>
      </c>
    </row>
    <row r="69">
      <c r="A69" s="11">
        <v>4.0</v>
      </c>
      <c r="B69" s="11">
        <v>159.2043881784527</v>
      </c>
      <c r="C69" s="11">
        <v>-9.204388178452689</v>
      </c>
    </row>
    <row r="70">
      <c r="A70" s="11">
        <v>5.0</v>
      </c>
      <c r="B70" s="11">
        <v>168.2189551646463</v>
      </c>
      <c r="C70" s="11">
        <v>7.781044835353697</v>
      </c>
      <c r="J70" s="5" t="s">
        <v>44</v>
      </c>
      <c r="K70" s="5"/>
      <c r="L70" s="5"/>
      <c r="M70" s="5"/>
    </row>
    <row r="71">
      <c r="A71" s="11">
        <v>6.0</v>
      </c>
      <c r="B71" s="11">
        <v>162.24999695237148</v>
      </c>
      <c r="C71" s="11">
        <v>5.750003047628525</v>
      </c>
      <c r="J71" s="5" t="s">
        <v>29</v>
      </c>
      <c r="K71" s="6">
        <v>0.9</v>
      </c>
      <c r="L71" s="5"/>
      <c r="M71" s="15">
        <f t="shared" ref="M71:M73" si="8">_xlfn.F.INV.RT(1-K71,4,COUNT($A$2:$A$21)- 3-1)</f>
        <v>2.332744869</v>
      </c>
    </row>
    <row r="72">
      <c r="A72" s="11">
        <v>7.0</v>
      </c>
      <c r="B72" s="11">
        <v>168.80709663961716</v>
      </c>
      <c r="C72" s="11">
        <v>4.192903360382843</v>
      </c>
      <c r="J72" s="5" t="s">
        <v>29</v>
      </c>
      <c r="K72" s="6">
        <v>0.95</v>
      </c>
      <c r="L72" s="5"/>
      <c r="M72" s="15">
        <f t="shared" si="8"/>
        <v>3.00691728</v>
      </c>
    </row>
    <row r="73">
      <c r="A73" s="11">
        <v>8.0</v>
      </c>
      <c r="B73" s="11">
        <v>139.75517724329134</v>
      </c>
      <c r="C73" s="11">
        <v>5.244822756708658</v>
      </c>
      <c r="J73" s="5" t="s">
        <v>29</v>
      </c>
      <c r="K73" s="6">
        <v>0.99</v>
      </c>
      <c r="L73" s="5"/>
      <c r="M73" s="15">
        <f t="shared" si="8"/>
        <v>4.772578</v>
      </c>
    </row>
    <row r="74">
      <c r="A74" s="11">
        <v>9.0</v>
      </c>
      <c r="B74" s="11">
        <v>171.85270541353594</v>
      </c>
      <c r="C74" s="11">
        <v>3.1472945864640565</v>
      </c>
      <c r="J74" s="8" t="s">
        <v>45</v>
      </c>
      <c r="K74" s="19">
        <f>E51</f>
        <v>26.95173182</v>
      </c>
      <c r="L74" s="8" t="s">
        <v>43</v>
      </c>
    </row>
    <row r="75">
      <c r="A75" s="11">
        <v>10.0</v>
      </c>
      <c r="B75" s="11">
        <v>166.22881932169264</v>
      </c>
      <c r="C75" s="11">
        <v>-9.22881932169264</v>
      </c>
    </row>
    <row r="76">
      <c r="A76" s="11">
        <v>11.0</v>
      </c>
      <c r="B76" s="11">
        <v>144.7901972018707</v>
      </c>
      <c r="C76" s="11">
        <v>-2.7901972018707113</v>
      </c>
    </row>
    <row r="77">
      <c r="A77" s="11">
        <v>12.0</v>
      </c>
      <c r="B77" s="11">
        <v>155.44910325229338</v>
      </c>
      <c r="C77" s="11">
        <v>-4.4491032522933835</v>
      </c>
    </row>
    <row r="78">
      <c r="A78" s="11">
        <v>13.0</v>
      </c>
      <c r="B78" s="11">
        <v>149.60167971728822</v>
      </c>
      <c r="C78" s="11">
        <v>-1.6016797172882207</v>
      </c>
    </row>
    <row r="79">
      <c r="A79" s="11">
        <v>14.0</v>
      </c>
      <c r="B79" s="11">
        <v>182.9782182616598</v>
      </c>
      <c r="C79" s="11">
        <v>3.021781738340195</v>
      </c>
    </row>
    <row r="80">
      <c r="A80" s="11">
        <v>15.0</v>
      </c>
      <c r="B80" s="11">
        <v>193.1697928560882</v>
      </c>
      <c r="C80" s="11">
        <v>7.830207143911792</v>
      </c>
    </row>
    <row r="81">
      <c r="A81" s="11">
        <v>16.0</v>
      </c>
      <c r="B81" s="11">
        <v>164.1178734597624</v>
      </c>
      <c r="C81" s="11">
        <v>4.882126540237607</v>
      </c>
    </row>
    <row r="82">
      <c r="A82" s="11">
        <v>17.0</v>
      </c>
      <c r="B82" s="11">
        <v>142.33345456121586</v>
      </c>
      <c r="C82" s="11">
        <v>17.66654543878414</v>
      </c>
    </row>
    <row r="83">
      <c r="A83" s="11">
        <v>18.0</v>
      </c>
      <c r="B83" s="11">
        <v>159.08285350118302</v>
      </c>
      <c r="C83" s="11">
        <v>-8.082853501183024</v>
      </c>
    </row>
    <row r="84">
      <c r="A84" s="11">
        <v>19.0</v>
      </c>
      <c r="B84" s="11">
        <v>134.13201580974112</v>
      </c>
      <c r="C84" s="11">
        <v>-5.1320158097411195</v>
      </c>
    </row>
    <row r="85">
      <c r="A85" s="13">
        <v>20.0</v>
      </c>
      <c r="B85" s="13">
        <v>163.18393520606693</v>
      </c>
      <c r="C85" s="13">
        <v>-0.18393520606693414</v>
      </c>
    </row>
    <row r="89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20" t="s">
        <v>46</v>
      </c>
    </row>
    <row r="90">
      <c r="A90" s="2">
        <v>1.0</v>
      </c>
      <c r="B90" s="2">
        <v>12.0</v>
      </c>
      <c r="C90" s="2">
        <v>2.0</v>
      </c>
      <c r="D90" s="2">
        <v>8.0</v>
      </c>
      <c r="E90" s="2">
        <v>139.0</v>
      </c>
      <c r="F90" s="17">
        <f t="shared" ref="F90:F109" si="9">$B$56 + $B$57 * B90 + $B$58 * C90 + $B$59 * D90</f>
        <v>141.9883824</v>
      </c>
    </row>
    <row r="91">
      <c r="A91" s="2">
        <v>2.0</v>
      </c>
      <c r="B91" s="2">
        <v>17.0</v>
      </c>
      <c r="C91" s="2">
        <v>5.0</v>
      </c>
      <c r="D91" s="2">
        <v>12.0</v>
      </c>
      <c r="E91" s="2">
        <v>182.0</v>
      </c>
      <c r="F91" s="17">
        <f t="shared" si="9"/>
        <v>188.0132382</v>
      </c>
    </row>
    <row r="92">
      <c r="A92" s="2">
        <v>3.0</v>
      </c>
      <c r="B92" s="2">
        <v>14.0</v>
      </c>
      <c r="C92" s="2">
        <v>6.0</v>
      </c>
      <c r="D92" s="2">
        <v>11.0</v>
      </c>
      <c r="E92" s="2">
        <v>164.0</v>
      </c>
      <c r="F92" s="17">
        <f t="shared" si="9"/>
        <v>173.8421166</v>
      </c>
    </row>
    <row r="93">
      <c r="A93" s="2">
        <v>4.0</v>
      </c>
      <c r="B93" s="2">
        <v>13.0</v>
      </c>
      <c r="C93" s="2">
        <v>4.0</v>
      </c>
      <c r="D93" s="2">
        <v>9.0</v>
      </c>
      <c r="E93" s="2">
        <v>150.0</v>
      </c>
      <c r="F93" s="17">
        <f t="shared" si="9"/>
        <v>159.2043882</v>
      </c>
    </row>
    <row r="94">
      <c r="A94" s="2">
        <v>5.0</v>
      </c>
      <c r="B94" s="2">
        <v>16.0</v>
      </c>
      <c r="C94" s="2">
        <v>3.0</v>
      </c>
      <c r="D94" s="2">
        <v>12.0</v>
      </c>
      <c r="E94" s="2">
        <v>176.0</v>
      </c>
      <c r="F94" s="17">
        <f t="shared" si="9"/>
        <v>168.2189552</v>
      </c>
    </row>
    <row r="95">
      <c r="A95" s="2">
        <v>6.0</v>
      </c>
      <c r="B95" s="2">
        <v>15.0</v>
      </c>
      <c r="C95" s="2">
        <v>2.0</v>
      </c>
      <c r="D95" s="2">
        <v>9.0</v>
      </c>
      <c r="E95" s="2">
        <v>168.0</v>
      </c>
      <c r="F95" s="17">
        <f t="shared" si="9"/>
        <v>162.249997</v>
      </c>
    </row>
    <row r="96">
      <c r="A96" s="2">
        <v>7.0</v>
      </c>
      <c r="B96" s="2">
        <v>13.0</v>
      </c>
      <c r="C96" s="2">
        <v>6.0</v>
      </c>
      <c r="D96" s="2">
        <v>10.0</v>
      </c>
      <c r="E96" s="2">
        <v>173.0</v>
      </c>
      <c r="F96" s="17">
        <f t="shared" si="9"/>
        <v>168.8070966</v>
      </c>
    </row>
    <row r="97">
      <c r="A97" s="2">
        <v>8.0</v>
      </c>
      <c r="B97" s="2">
        <v>11.0</v>
      </c>
      <c r="C97" s="2">
        <v>5.0</v>
      </c>
      <c r="D97" s="2">
        <v>13.0</v>
      </c>
      <c r="E97" s="2">
        <v>145.0</v>
      </c>
      <c r="F97" s="17">
        <f t="shared" si="9"/>
        <v>139.7551772</v>
      </c>
    </row>
    <row r="98">
      <c r="A98" s="2">
        <v>9.0</v>
      </c>
      <c r="B98" s="2">
        <v>15.0</v>
      </c>
      <c r="C98" s="2">
        <v>4.0</v>
      </c>
      <c r="D98" s="2">
        <v>10.0</v>
      </c>
      <c r="E98" s="2">
        <v>175.0</v>
      </c>
      <c r="F98" s="17">
        <f t="shared" si="9"/>
        <v>171.8527054</v>
      </c>
    </row>
    <row r="99">
      <c r="A99" s="2">
        <v>10.0</v>
      </c>
      <c r="B99" s="2">
        <v>13.0</v>
      </c>
      <c r="C99" s="2">
        <v>6.0</v>
      </c>
      <c r="D99" s="2">
        <v>11.0</v>
      </c>
      <c r="E99" s="2">
        <v>157.0</v>
      </c>
      <c r="F99" s="17">
        <f t="shared" si="9"/>
        <v>166.2288193</v>
      </c>
    </row>
    <row r="100">
      <c r="A100" s="2">
        <v>11.0</v>
      </c>
      <c r="B100" s="2">
        <v>12.0</v>
      </c>
      <c r="C100" s="2">
        <v>5.0</v>
      </c>
      <c r="D100" s="2">
        <v>14.0</v>
      </c>
      <c r="E100" s="2">
        <v>142.0</v>
      </c>
      <c r="F100" s="17">
        <f t="shared" si="9"/>
        <v>144.7901972</v>
      </c>
    </row>
    <row r="101">
      <c r="A101" s="2">
        <v>12.0</v>
      </c>
      <c r="B101" s="2">
        <v>15.0</v>
      </c>
      <c r="C101" s="2">
        <v>3.0</v>
      </c>
      <c r="D101" s="2">
        <v>14.0</v>
      </c>
      <c r="E101" s="2">
        <v>151.0</v>
      </c>
      <c r="F101" s="17">
        <f t="shared" si="9"/>
        <v>155.4491033</v>
      </c>
    </row>
    <row r="102">
      <c r="A102" s="2">
        <v>13.0</v>
      </c>
      <c r="B102" s="2">
        <v>13.0</v>
      </c>
      <c r="C102" s="2">
        <v>2.0</v>
      </c>
      <c r="D102" s="2">
        <v>8.0</v>
      </c>
      <c r="E102" s="2">
        <v>148.0</v>
      </c>
      <c r="F102" s="17">
        <f t="shared" si="9"/>
        <v>149.6016797</v>
      </c>
    </row>
    <row r="103">
      <c r="A103" s="2">
        <v>14.0</v>
      </c>
      <c r="B103" s="2">
        <v>16.0</v>
      </c>
      <c r="C103" s="2">
        <v>5.0</v>
      </c>
      <c r="D103" s="2">
        <v>11.0</v>
      </c>
      <c r="E103" s="2">
        <v>186.0</v>
      </c>
      <c r="F103" s="17">
        <f t="shared" si="9"/>
        <v>182.9782183</v>
      </c>
    </row>
    <row r="104">
      <c r="A104" s="2">
        <v>15.0</v>
      </c>
      <c r="B104" s="2">
        <v>17.0</v>
      </c>
      <c r="C104" s="2">
        <v>5.0</v>
      </c>
      <c r="D104" s="2">
        <v>10.0</v>
      </c>
      <c r="E104" s="2">
        <v>201.0</v>
      </c>
      <c r="F104" s="17">
        <f t="shared" si="9"/>
        <v>193.1697929</v>
      </c>
    </row>
    <row r="105">
      <c r="A105" s="2">
        <v>16.0</v>
      </c>
      <c r="B105" s="2">
        <v>15.0</v>
      </c>
      <c r="C105" s="2">
        <v>4.0</v>
      </c>
      <c r="D105" s="2">
        <v>13.0</v>
      </c>
      <c r="E105" s="2">
        <v>169.0</v>
      </c>
      <c r="F105" s="17">
        <f t="shared" si="9"/>
        <v>164.1178735</v>
      </c>
    </row>
    <row r="106">
      <c r="A106" s="2">
        <v>17.0</v>
      </c>
      <c r="B106" s="2">
        <v>11.0</v>
      </c>
      <c r="C106" s="2">
        <v>5.0</v>
      </c>
      <c r="D106" s="2">
        <v>12.0</v>
      </c>
      <c r="E106" s="2">
        <v>160.0</v>
      </c>
      <c r="F106" s="17">
        <f t="shared" si="9"/>
        <v>142.3334546</v>
      </c>
    </row>
    <row r="107">
      <c r="A107" s="2">
        <v>18.0</v>
      </c>
      <c r="B107" s="2">
        <v>14.0</v>
      </c>
      <c r="C107" s="2">
        <v>4.0</v>
      </c>
      <c r="D107" s="2">
        <v>12.0</v>
      </c>
      <c r="E107" s="2">
        <v>151.0</v>
      </c>
      <c r="F107" s="17">
        <f t="shared" si="9"/>
        <v>159.0828535</v>
      </c>
    </row>
    <row r="108">
      <c r="A108" s="2">
        <v>19.0</v>
      </c>
      <c r="B108" s="2">
        <v>13.0</v>
      </c>
      <c r="C108" s="2">
        <v>2.0</v>
      </c>
      <c r="D108" s="2">
        <v>14.0</v>
      </c>
      <c r="E108" s="2">
        <v>129.0</v>
      </c>
      <c r="F108" s="17">
        <f t="shared" si="9"/>
        <v>134.1320158</v>
      </c>
    </row>
    <row r="109">
      <c r="A109" s="2">
        <v>20.0</v>
      </c>
      <c r="B109" s="2">
        <v>15.0</v>
      </c>
      <c r="C109" s="2">
        <v>3.0</v>
      </c>
      <c r="D109" s="2">
        <v>11.0</v>
      </c>
      <c r="E109" s="2">
        <v>163.0</v>
      </c>
      <c r="F109" s="17">
        <f t="shared" si="9"/>
        <v>163.1839352</v>
      </c>
    </row>
    <row r="127">
      <c r="A127" s="1" t="s">
        <v>0</v>
      </c>
      <c r="B127" s="18" t="s">
        <v>47</v>
      </c>
    </row>
    <row r="128">
      <c r="A128" s="2">
        <v>1.0</v>
      </c>
      <c r="B128" s="17">
        <f t="shared" ref="B128:B147" si="10">E90-F90</f>
        <v>-2.988382441</v>
      </c>
    </row>
    <row r="129">
      <c r="A129" s="2">
        <v>2.0</v>
      </c>
      <c r="B129" s="17">
        <f t="shared" si="10"/>
        <v>-6.01323822</v>
      </c>
    </row>
    <row r="130">
      <c r="A130" s="2">
        <v>3.0</v>
      </c>
      <c r="B130" s="17">
        <f t="shared" si="10"/>
        <v>-9.842116598</v>
      </c>
    </row>
    <row r="131">
      <c r="A131" s="2">
        <v>4.0</v>
      </c>
      <c r="B131" s="17">
        <f t="shared" si="10"/>
        <v>-9.204388178</v>
      </c>
    </row>
    <row r="132">
      <c r="A132" s="2">
        <v>5.0</v>
      </c>
      <c r="B132" s="17">
        <f t="shared" si="10"/>
        <v>7.781044835</v>
      </c>
    </row>
    <row r="133">
      <c r="A133" s="2">
        <v>6.0</v>
      </c>
      <c r="B133" s="17">
        <f t="shared" si="10"/>
        <v>5.750003048</v>
      </c>
    </row>
    <row r="134">
      <c r="A134" s="2">
        <v>7.0</v>
      </c>
      <c r="B134" s="17">
        <f t="shared" si="10"/>
        <v>4.19290336</v>
      </c>
    </row>
    <row r="135">
      <c r="A135" s="2">
        <v>8.0</v>
      </c>
      <c r="B135" s="17">
        <f t="shared" si="10"/>
        <v>5.244822757</v>
      </c>
    </row>
    <row r="136">
      <c r="A136" s="2">
        <v>9.0</v>
      </c>
      <c r="B136" s="17">
        <f t="shared" si="10"/>
        <v>3.147294586</v>
      </c>
    </row>
    <row r="137">
      <c r="A137" s="2">
        <v>10.0</v>
      </c>
      <c r="B137" s="17">
        <f t="shared" si="10"/>
        <v>-9.228819322</v>
      </c>
    </row>
    <row r="138">
      <c r="A138" s="2">
        <v>11.0</v>
      </c>
      <c r="B138" s="17">
        <f t="shared" si="10"/>
        <v>-2.790197202</v>
      </c>
    </row>
    <row r="139">
      <c r="A139" s="2">
        <v>12.0</v>
      </c>
      <c r="B139" s="17">
        <f t="shared" si="10"/>
        <v>-4.449103252</v>
      </c>
    </row>
    <row r="140">
      <c r="A140" s="2">
        <v>13.0</v>
      </c>
      <c r="B140" s="17">
        <f t="shared" si="10"/>
        <v>-1.601679717</v>
      </c>
    </row>
    <row r="141">
      <c r="A141" s="2">
        <v>14.0</v>
      </c>
      <c r="B141" s="17">
        <f t="shared" si="10"/>
        <v>3.021781738</v>
      </c>
    </row>
    <row r="142">
      <c r="A142" s="2">
        <v>15.0</v>
      </c>
      <c r="B142" s="17">
        <f t="shared" si="10"/>
        <v>7.830207144</v>
      </c>
    </row>
    <row r="143">
      <c r="A143" s="2">
        <v>16.0</v>
      </c>
      <c r="B143" s="17">
        <f t="shared" si="10"/>
        <v>4.88212654</v>
      </c>
    </row>
    <row r="144">
      <c r="A144" s="2">
        <v>17.0</v>
      </c>
      <c r="B144" s="17">
        <f t="shared" si="10"/>
        <v>17.66654544</v>
      </c>
    </row>
    <row r="145">
      <c r="A145" s="2">
        <v>18.0</v>
      </c>
      <c r="B145" s="17">
        <f t="shared" si="10"/>
        <v>-8.082853501</v>
      </c>
    </row>
    <row r="146">
      <c r="A146" s="2">
        <v>19.0</v>
      </c>
      <c r="B146" s="17">
        <f t="shared" si="10"/>
        <v>-5.13201581</v>
      </c>
    </row>
    <row r="147">
      <c r="A147" s="2">
        <v>20.0</v>
      </c>
      <c r="B147" s="17">
        <f t="shared" si="10"/>
        <v>-0.1839352061</v>
      </c>
    </row>
    <row r="148">
      <c r="A148" s="8" t="s">
        <v>48</v>
      </c>
    </row>
  </sheetData>
  <mergeCells count="4">
    <mergeCell ref="M19:O19"/>
    <mergeCell ref="M24:N24"/>
    <mergeCell ref="K55:M55"/>
    <mergeCell ref="K60:L60"/>
  </mergeCells>
  <drawing r:id="rId1"/>
</worksheet>
</file>