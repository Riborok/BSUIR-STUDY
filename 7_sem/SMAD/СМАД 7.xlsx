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_автокорреляция" sheetId="1" r:id="rId4"/>
    <sheet state="visible" name="6_автокорреляция" sheetId="2" r:id="rId5"/>
    <sheet state="visible" name="5_гетероскедастичность" sheetId="3" r:id="rId6"/>
    <sheet state="visible" name="6_гетероскедастичность" sheetId="4" r:id="rId7"/>
    <sheet state="visible" name="5_мультиколлинеарность" sheetId="5" r:id="rId8"/>
    <sheet state="visible" name="6_мультиколлинеарность" sheetId="6" r:id="rId9"/>
  </sheets>
  <definedNames/>
  <calcPr/>
</workbook>
</file>

<file path=xl/sharedStrings.xml><?xml version="1.0" encoding="utf-8"?>
<sst xmlns="http://schemas.openxmlformats.org/spreadsheetml/2006/main" count="761" uniqueCount="154">
  <si>
    <t xml:space="preserve"> t</t>
  </si>
  <si>
    <t>x1(t)</t>
  </si>
  <si>
    <t>x2(t)</t>
  </si>
  <si>
    <t>x3(t)</t>
  </si>
  <si>
    <t>y(t)</t>
  </si>
  <si>
    <t xml:space="preserve"> </t>
  </si>
  <si>
    <t>SUMMARY OUTPUT</t>
  </si>
  <si>
    <t xml:space="preserve"> 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</si>
  <si>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</si>
  <si>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</si>
  <si>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</si>
  <si>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</si>
  <si>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</si>
  <si>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</si>
  <si>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</si>
  <si>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</si>
  <si>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</si>
  <si>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</si>
  <si>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</si>
  <si>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</si>
  <si>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</si>
  <si>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</si>
  <si>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</si>
  <si>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</si>
  <si>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</si>
  <si>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</si>
  <si>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</si>
  <si>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</si>
  <si>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RESIDUAL OUTPUT</t>
  </si>
  <si>
    <t>Observation</t>
  </si>
  <si>
    <t>Predicted y(t)</t>
  </si>
  <si>
    <t>Residuals</t>
  </si>
  <si>
    <t>t</t>
  </si>
  <si>
    <t>^y(t)</t>
  </si>
  <si>
    <t>e(t)</t>
  </si>
  <si>
    <t>e(t-1)</t>
  </si>
  <si>
    <t>e(t) - e(t - 1)</t>
  </si>
  <si>
    <t>(e(t) - e(t - 1))^2</t>
  </si>
  <si>
    <t>et^2</t>
  </si>
  <si>
    <t>1 Графический метод</t>
  </si>
  <si>
    <t>по графику зависимости et от et-1 можно увидеть положительную автокорреляцию, т.к большинство точек расоложено в 1 и 3 четвертях</t>
  </si>
  <si>
    <t>2. Метод рядов (Сведа–Эйзенхарта)</t>
  </si>
  <si>
    <t>-</t>
  </si>
  <si>
    <t>квантиль стандартного нормального распределения для доверительной вероятности 95%</t>
  </si>
  <si>
    <t>Количество рядов k</t>
  </si>
  <si>
    <t>n1</t>
  </si>
  <si>
    <t>M(k)</t>
  </si>
  <si>
    <t>uα/2 при уровне значимости α=0,05 =</t>
  </si>
  <si>
    <t>Количество измерений</t>
  </si>
  <si>
    <t>n2</t>
  </si>
  <si>
    <t>D(k)</t>
  </si>
  <si>
    <t>Если рядов слишком мало по сравнению с количеством наблюдений n, то вполне вероятна положительная автокорреляция</t>
  </si>
  <si>
    <t>Гипотеза об отсутствии автокорреляции отвергается, т.к k не входит в промежуток</t>
  </si>
  <si>
    <t>3. Критерий Дарбина-Уотсона</t>
  </si>
  <si>
    <t>DW =</t>
  </si>
  <si>
    <t>d1</t>
  </si>
  <si>
    <t>du</t>
  </si>
  <si>
    <t>https://sebhastian.com/durbin-watson-table/</t>
  </si>
  <si>
    <t>Regression Statistics</t>
  </si>
  <si>
    <t>по графику зависимости et от et-1 можно увидеть небольшую положительную автокорреляцию, т.к большинство точек расоложено в 1 и 3 четвертях</t>
  </si>
  <si>
    <t>+</t>
  </si>
  <si>
    <t>4-du</t>
  </si>
  <si>
    <t>e</t>
  </si>
  <si>
    <t>e^2</t>
  </si>
  <si>
    <t>1. Графический метод</t>
  </si>
  <si>
    <t>2. Тест ранговой корреляции Спирмена</t>
  </si>
  <si>
    <t>abs(e(t))</t>
  </si>
  <si>
    <t>Ранг</t>
  </si>
  <si>
    <t>di^2</t>
  </si>
  <si>
    <t>Сумма</t>
  </si>
  <si>
    <t>r(e;x)</t>
  </si>
  <si>
    <t>tнабл</t>
  </si>
  <si>
    <t>tкрит</t>
  </si>
  <si>
    <t>По полученным данным, можно сказать, что гипотеза о гетероскедастичности отклоняется для всех х</t>
  </si>
  <si>
    <t>3. Тест Голдфелда-Квандта</t>
  </si>
  <si>
    <t>обычно k = n / 3 = 7</t>
  </si>
  <si>
    <t>S1</t>
  </si>
  <si>
    <t>S3</t>
  </si>
  <si>
    <t>Fнабл</t>
  </si>
  <si>
    <t>Fкрит</t>
  </si>
  <si>
    <t>Гетероскедастичность отсутствует</t>
  </si>
  <si>
    <t>4. Тест Парка</t>
  </si>
  <si>
    <t>ln(x1)</t>
  </si>
  <si>
    <t>ln(e^2)</t>
  </si>
  <si>
    <t>ln(x2)</t>
  </si>
  <si>
    <t>ln(x3)</t>
  </si>
  <si>
    <t>Смотрим на p-значение, оно показывает значимость на (1 - p)-значение</t>
  </si>
  <si>
    <t>Зависимость статистически незначима</t>
  </si>
  <si>
    <t>Гетероскедатичность отсутствует</t>
  </si>
  <si>
    <t>5. Тест Уайта</t>
  </si>
  <si>
    <t>x1^2</t>
  </si>
  <si>
    <t>x2^2</t>
  </si>
  <si>
    <t>x3^2</t>
  </si>
  <si>
    <t>x1x2</t>
  </si>
  <si>
    <t>x1x3</t>
  </si>
  <si>
    <t>x2x3</t>
  </si>
  <si>
    <t>Уравнение модели: e(t)² = λ₀ + λ₁*x1 + λ₂*x2 + λ₃*x3 + δ₁*x1² + δ₂*x2² + δ₃*x3² + α₁₂*(x1*x2) + α₁₃*(x1*x3) + α₂₃*(x2*x3) + v(t)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</si>
  <si>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</si>
  <si>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</si>
  <si>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</si>
  <si>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</si>
  <si>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</si>
  <si>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</si>
  <si>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</si>
  <si>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</si>
  <si>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</si>
  <si>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</si>
  <si>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</si>
  <si>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</si>
  <si>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</si>
  <si>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</si>
  <si>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</si>
  <si>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</si>
  <si>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</si>
  <si>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</si>
  <si>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</si>
  <si>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Y-пересечение</t>
  </si>
  <si>
    <t>ВЫВОД ОСТАТКА</t>
  </si>
  <si>
    <t>Наблюдение</t>
  </si>
  <si>
    <t>Предсказанное e^2</t>
  </si>
  <si>
    <t>Остатки</t>
  </si>
  <si>
    <t>χ²набл</t>
  </si>
  <si>
    <t>χ²крит</t>
  </si>
  <si>
    <t>Residuals^2</t>
  </si>
  <si>
    <t>y^</t>
  </si>
  <si>
    <t>есть вероятность наличия гетероскедастичности для рассматриваемых статистических данных</t>
  </si>
  <si>
    <t>Гетероскедастичность присутствует по x2 и x3</t>
  </si>
  <si>
    <t>Предположим что влияет х1</t>
  </si>
  <si>
    <t>k = n /3</t>
  </si>
  <si>
    <t>Гетескедастичность отсутствует</t>
  </si>
  <si>
    <t>Зависимость статистически значима</t>
  </si>
  <si>
    <t>Гетероскедатичность присутствует</t>
  </si>
  <si>
    <t>2 переменные коллинеарны если коэффициент &gt;= 0,7</t>
  </si>
  <si>
    <t>r12</t>
  </si>
  <si>
    <t>r12.3</t>
  </si>
  <si>
    <t>не коллинеарны</t>
  </si>
  <si>
    <t>r23</t>
  </si>
  <si>
    <t>r13.2</t>
  </si>
  <si>
    <t>r13</t>
  </si>
  <si>
    <t>r23.1</t>
  </si>
  <si>
    <t>Матрица корреляции</t>
  </si>
  <si>
    <t>XTX</t>
  </si>
  <si>
    <t>Обратная матрица корреляции</t>
  </si>
  <si>
    <t>(XTX)^-1</t>
  </si>
  <si>
    <t>Собств. знач</t>
  </si>
  <si>
    <t>Частные коэффициенты корреляции</t>
  </si>
  <si>
    <t>k=</t>
  </si>
  <si>
    <t>CI=</t>
  </si>
  <si>
    <t>Мульколениарности нет k &lt; 100 и Ci &lt;10</t>
  </si>
  <si>
    <t>VIFкрит=</t>
  </si>
  <si>
    <t>-&gt; отсутсвует мультиколлинеарности</t>
  </si>
  <si>
    <t>VIF1=</t>
  </si>
  <si>
    <t>VIF2=</t>
  </si>
  <si>
    <t>VIF3=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</si>
</sst>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/>
    <font>
      <u/>
      <sz val="11.0"/>
      <color rgb="FF0000FF"/>
      <name val="Arial"/>
    </font>
    <font>
      <b/>
      <color theme="1"/>
      <name val="Arial"/>
    </font>
    <font>
      <sz val="12.0"/>
      <color theme="1"/>
      <name val="Arial"/>
    </font>
    <font>
      <color rgb="FF000000"/>
      <name val="Arial"/>
    </font>
    <font>
      <i/>
      <color theme="1"/>
      <name val="Arial"/>
      <scheme val="minor"/>
    </font>
    <font>
      <i/>
      <sz val="11.0"/>
      <color rgb="FF000000"/>
      <name val="Calibri"/>
    </font>
    <font>
      <sz val="14.0"/>
      <color rgb="FF000000"/>
      <name val="&quot;Times New Roman&quot;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2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Font="1"/>
    <xf borderId="1" fillId="2" fontId="1" numFmtId="0" xfId="0" applyAlignment="1" applyBorder="1" applyFont="1">
      <alignment horizontal="right" readingOrder="0" vertical="bottom"/>
    </xf>
    <xf borderId="0" fillId="2" fontId="3" numFmtId="0" xfId="0" applyAlignment="1" applyFont="1">
      <alignment vertical="bottom"/>
    </xf>
    <xf borderId="2" fillId="0" fontId="4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right" vertical="bottom"/>
    </xf>
    <xf borderId="1" fillId="2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/>
    </xf>
    <xf borderId="1" fillId="2" fontId="2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1" fillId="0" fontId="5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7" numFmtId="0" xfId="0" applyBorder="1" applyFont="1"/>
    <xf borderId="1" fillId="0" fontId="6" numFmtId="0" xfId="0" applyAlignment="1" applyBorder="1" applyFont="1">
      <alignment horizontal="right" readingOrder="0" shrinkToFit="0" vertical="bottom" wrapText="0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2" fontId="1" numFmtId="0" xfId="0" applyAlignment="1" applyFont="1">
      <alignment horizontal="right" readingOrder="0" vertical="bottom"/>
    </xf>
    <xf borderId="0" fillId="2" fontId="1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2" fontId="8" numFmtId="0" xfId="0" applyAlignment="1" applyFont="1">
      <alignment horizontal="right" readingOrder="0" vertical="bottom"/>
    </xf>
    <xf borderId="1" fillId="0" fontId="9" numFmtId="0" xfId="0" applyAlignment="1" applyBorder="1" applyFont="1">
      <alignment horizontal="center"/>
    </xf>
    <xf borderId="1" fillId="2" fontId="10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right" vertical="bottom"/>
    </xf>
    <xf borderId="0" fillId="3" fontId="3" numFmtId="0" xfId="0" applyAlignment="1" applyFont="1">
      <alignment horizontal="center" vertical="bottom"/>
    </xf>
    <xf borderId="1" fillId="0" fontId="9" numFmtId="0" xfId="0" applyAlignment="1" applyBorder="1" applyFont="1">
      <alignment vertical="bottom"/>
    </xf>
    <xf quotePrefix="1" borderId="1" fillId="0" fontId="3" numFmtId="0" xfId="0" applyAlignment="1" applyBorder="1" applyFont="1">
      <alignment horizontal="center" readingOrder="0" vertical="center"/>
    </xf>
    <xf borderId="0" fillId="3" fontId="11" numFmtId="0" xfId="0" applyAlignment="1" applyFont="1">
      <alignment vertical="bottom"/>
    </xf>
    <xf borderId="0" fillId="3" fontId="11" numFmtId="0" xfId="0" applyAlignment="1" applyFont="1">
      <alignment horizontal="center"/>
    </xf>
    <xf borderId="0" fillId="3" fontId="11" numFmtId="0" xfId="0" applyAlignment="1" applyFont="1">
      <alignment horizontal="right" vertical="bottom"/>
    </xf>
    <xf borderId="1" fillId="0" fontId="6" numFmtId="0" xfId="0" applyAlignment="1" applyBorder="1" applyFont="1">
      <alignment readingOrder="0" shrinkToFit="0" vertical="bottom" wrapText="0"/>
    </xf>
    <xf borderId="4" fillId="2" fontId="2" numFmtId="0" xfId="0" applyAlignment="1" applyBorder="1" applyFont="1">
      <alignment vertical="bottom"/>
    </xf>
    <xf borderId="4" fillId="2" fontId="2" numFmtId="0" xfId="0" applyAlignment="1" applyBorder="1" applyFont="1">
      <alignment horizontal="right" vertical="bottom"/>
    </xf>
    <xf borderId="1" fillId="4" fontId="2" numFmtId="0" xfId="0" applyAlignment="1" applyBorder="1" applyFill="1" applyFont="1">
      <alignment horizontal="right" vertical="bottom"/>
    </xf>
    <xf borderId="1" fillId="4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vertical="bottom"/>
    </xf>
    <xf borderId="1" fillId="5" fontId="2" numFmtId="0" xfId="0" applyAlignment="1" applyBorder="1" applyFill="1" applyFont="1">
      <alignment horizontal="right" vertical="bottom"/>
    </xf>
    <xf borderId="1" fillId="5" fontId="3" numFmtId="0" xfId="0" applyAlignment="1" applyBorder="1" applyFont="1">
      <alignment horizontal="right" vertical="bottom"/>
    </xf>
    <xf borderId="1" fillId="5" fontId="3" numFmtId="0" xfId="0" applyAlignment="1" applyBorder="1" applyFont="1">
      <alignment vertical="bottom"/>
    </xf>
    <xf borderId="1" fillId="4" fontId="1" numFmtId="0" xfId="0" applyAlignment="1" applyBorder="1" applyFont="1">
      <alignment horizontal="right" readingOrder="0" vertical="bottom"/>
    </xf>
    <xf borderId="2" fillId="0" fontId="12" numFmtId="0" xfId="0" applyAlignment="1" applyBorder="1" applyFont="1">
      <alignment horizontal="center" readingOrder="0"/>
    </xf>
    <xf borderId="2" fillId="0" fontId="12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0" fillId="0" fontId="12" numFmtId="0" xfId="0" applyAlignment="1" applyFont="1">
      <alignment horizontal="center" readingOrder="0"/>
    </xf>
    <xf borderId="3" fillId="0" fontId="5" numFmtId="0" xfId="0" applyBorder="1" applyFont="1"/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2" fillId="0" fontId="13" numFmtId="0" xfId="0" applyAlignment="1" applyBorder="1" applyFont="1">
      <alignment horizontal="center" readingOrder="0" shrinkToFit="0" vertical="bottom" wrapText="0"/>
    </xf>
    <xf borderId="2" fillId="0" fontId="7" numFmtId="0" xfId="0" applyBorder="1" applyFont="1"/>
    <xf borderId="0" fillId="0" fontId="6" numFmtId="0" xfId="0" applyAlignment="1" applyFont="1">
      <alignment horizontal="right" readingOrder="0"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horizontal="right" readingOrder="0" shrinkToFit="0" vertical="bottom" wrapText="0"/>
    </xf>
    <xf borderId="2" fillId="0" fontId="13" numFmtId="0" xfId="0" applyAlignment="1" applyBorder="1" applyFont="1">
      <alignment horizontal="center" shrinkToFit="0" vertical="bottom" wrapText="0"/>
    </xf>
    <xf borderId="3" fillId="0" fontId="6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10" numFmtId="0" xfId="0" applyAlignment="1" applyFont="1">
      <alignment horizontal="right" vertical="bottom"/>
    </xf>
    <xf borderId="0" fillId="0" fontId="3" numFmtId="0" xfId="0" applyAlignment="1" applyFont="1">
      <alignment horizontal="left" readingOrder="0" vertical="bottom"/>
    </xf>
    <xf borderId="0" fillId="0" fontId="14" numFmtId="0" xfId="0" applyAlignment="1" applyFont="1">
      <alignment readingOrder="0"/>
    </xf>
    <xf borderId="1" fillId="6" fontId="3" numFmtId="0" xfId="0" applyAlignment="1" applyBorder="1" applyFill="1" applyFont="1">
      <alignment vertical="bottom"/>
    </xf>
    <xf borderId="2" fillId="0" fontId="4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right" vertical="center"/>
    </xf>
    <xf borderId="1" fillId="2" fontId="10" numFmtId="0" xfId="0" applyAlignment="1" applyBorder="1" applyFont="1">
      <alignment horizontal="right" vertical="center"/>
    </xf>
    <xf borderId="1" fillId="0" fontId="10" numFmtId="0" xfId="0" applyAlignment="1" applyBorder="1" applyFont="1">
      <alignment horizontal="right" vertical="center"/>
    </xf>
    <xf borderId="1" fillId="0" fontId="3" numFmtId="0" xfId="0" applyAlignment="1" applyBorder="1" applyFont="1">
      <alignment vertical="center"/>
    </xf>
    <xf borderId="0" fillId="0" fontId="6" numFmtId="11" xfId="0" applyAlignment="1" applyFont="1" applyNumberFormat="1">
      <alignment horizontal="right" readingOrder="0" shrinkToFit="0" vertical="bottom" wrapText="0"/>
    </xf>
    <xf borderId="3" fillId="0" fontId="6" numFmtId="11" xfId="0" applyAlignment="1" applyBorder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readingOrder="0" shrinkToFit="0" wrapText="0"/>
    </xf>
    <xf borderId="4" fillId="3" fontId="6" numFmtId="0" xfId="0" applyAlignment="1" applyBorder="1" applyFont="1">
      <alignment horizontal="center" readingOrder="0" shrinkToFit="0" vertical="bottom" wrapText="0"/>
    </xf>
    <xf borderId="1" fillId="3" fontId="6" numFmtId="0" xfId="0" applyAlignment="1" applyBorder="1" applyFont="1">
      <alignment horizontal="center" shrinkToFit="0" wrapText="0"/>
    </xf>
    <xf borderId="1" fillId="3" fontId="6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readingOrder="0" vertical="bottom"/>
    </xf>
    <xf borderId="1" fillId="3" fontId="6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 vertic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2" fontId="10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остатки х3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'5_автокорреляция'!$G$73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'5_автокорреляция'!$D$2:$D$21</c:f>
            </c:numRef>
          </c:xVal>
          <c:yVal>
            <c:numRef>
              <c:f>'5_автокорреляция'!$G$74:$G$93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178305"/>
        <c:axId val="1604971851"/>
      </c:scatterChart>
      <c:valAx>
        <c:axId val="14831783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971851"/>
      </c:valAx>
      <c:valAx>
        <c:axId val="16049718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31783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остатки x1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'5_автокорреляция'!$G$73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'5_автокорреляция'!$B$2:$B$21</c:f>
            </c:numRef>
          </c:xVal>
          <c:yVal>
            <c:numRef>
              <c:f>'5_автокорреляция'!$G$74:$G$93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955854"/>
        <c:axId val="150282277"/>
      </c:scatterChart>
      <c:valAx>
        <c:axId val="13419558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82277"/>
      </c:valAx>
      <c:valAx>
        <c:axId val="150282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9558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остатки х2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'5_автокорреляция'!$G$73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'5_автокорреляция'!$C$2:$C$21</c:f>
            </c:numRef>
          </c:xVal>
          <c:yVal>
            <c:numRef>
              <c:f>'5_автокорреляция'!$G$74:$G$93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085351"/>
        <c:axId val="468698709"/>
      </c:scatterChart>
      <c:valAx>
        <c:axId val="19800853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698709"/>
      </c:valAx>
      <c:valAx>
        <c:axId val="468698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00853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'5_автокорреляция'!$G$73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9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'5_автокорреляция'!$A$2:$A$21</c:f>
            </c:numRef>
          </c:xVal>
          <c:yVal>
            <c:numRef>
              <c:f>'5_автокорреляция'!$G$74:$G$93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412779"/>
        <c:axId val="938091039"/>
      </c:scatterChart>
      <c:valAx>
        <c:axId val="19704127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091039"/>
      </c:valAx>
      <c:valAx>
        <c:axId val="938091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04127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'5_автокорреляция'!$G$73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9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'5_автокорреляция'!$H$74:$H$93</c:f>
            </c:numRef>
          </c:xVal>
          <c:yVal>
            <c:numRef>
              <c:f>'5_автокорреляция'!$G$74:$G$93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247394"/>
        <c:axId val="55045153"/>
      </c:scatterChart>
      <c:valAx>
        <c:axId val="304247394"/>
        <c:scaling>
          <c:orientation val="minMax"/>
          <c:max val="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45153"/>
      </c:valAx>
      <c:valAx>
        <c:axId val="55045153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247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остатки x1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'6_автокорреляция'!$G$122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'6_автокорреляция'!$B$123:$B$163</c:f>
            </c:numRef>
          </c:xVal>
          <c:yVal>
            <c:numRef>
              <c:f>'6_автокорреляция'!$G$123:$G$163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09632"/>
        <c:axId val="434535497"/>
      </c:scatterChart>
      <c:valAx>
        <c:axId val="1799096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535497"/>
      </c:valAx>
      <c:valAx>
        <c:axId val="434535497"/>
        <c:scaling>
          <c:orientation val="minMax"/>
          <c:max val="1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096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остатки х2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'6_автокорреляция'!$G$122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'6_автокорреляция'!$C$123:$C$163</c:f>
            </c:numRef>
          </c:xVal>
          <c:yVal>
            <c:numRef>
              <c:f>'6_автокорреляция'!$G$123:$G$163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474942"/>
        <c:axId val="1157658307"/>
      </c:scatterChart>
      <c:valAx>
        <c:axId val="2974749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658307"/>
      </c:valAx>
      <c:valAx>
        <c:axId val="1157658307"/>
        <c:scaling>
          <c:orientation val="minMax"/>
          <c:max val="1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74749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остатки х3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'6_автокорреляция'!$G$122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'6_автокорреляция'!$D$123:$D$163</c:f>
            </c:numRef>
          </c:xVal>
          <c:yVal>
            <c:numRef>
              <c:f>'6_автокорреляция'!$G$123:$G$163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088431"/>
        <c:axId val="1760811428"/>
      </c:scatterChart>
      <c:valAx>
        <c:axId val="13470884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811428"/>
      </c:valAx>
      <c:valAx>
        <c:axId val="1760811428"/>
        <c:scaling>
          <c:orientation val="minMax"/>
          <c:max val="1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7088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e(t) относительно параметра "t"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'6_автокорреляция'!$G$122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9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'6_автокорреляция'!$A$123:$A$163</c:f>
            </c:numRef>
          </c:xVal>
          <c:yVal>
            <c:numRef>
              <c:f>'6_автокорреляция'!$G$123:$G$163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052777"/>
        <c:axId val="593114936"/>
      </c:scatterChart>
      <c:valAx>
        <c:axId val="12470527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114936"/>
      </c:valAx>
      <c:valAx>
        <c:axId val="593114936"/>
        <c:scaling>
          <c:orientation val="minMax"/>
          <c:max val="1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052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'6_автокорреляция'!$G$122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9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'6_автокорреляция'!$H$123:$H$163</c:f>
            </c:numRef>
          </c:xVal>
          <c:yVal>
            <c:numRef>
              <c:f>'6_автокорреляция'!$G$123:$G$163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956889"/>
        <c:axId val="1085497158"/>
      </c:scatterChart>
      <c:valAx>
        <c:axId val="1495956889"/>
        <c:scaling>
          <c:orientation val="minMax"/>
          <c:max val="20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497158"/>
      </c:valAx>
      <c:valAx>
        <c:axId val="1085497158"/>
        <c:scaling>
          <c:orientation val="minMax"/>
          <c:max val="2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956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'5_гетероскедастичность'!$H$74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'5_гетероскедастичность'!$F$75:$F$94</c:f>
            </c:numRef>
          </c:xVal>
          <c:yVal>
            <c:numRef>
              <c:f>'5_гетероскедастичность'!$H$75:$H$94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892958"/>
        <c:axId val="1748203232"/>
      </c:scatterChart>
      <c:valAx>
        <c:axId val="19428929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203232"/>
      </c:valAx>
      <c:valAx>
        <c:axId val="1748203232"/>
        <c:scaling>
          <c:orientation val="minMax"/>
          <c:min val="-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28929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y^ относительно параметра "e^2"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'6_гетероскедастичность'!$H$113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'6_гетероскедастичность'!$G$114:$G$154</c:f>
            </c:numRef>
          </c:xVal>
          <c:yVal>
            <c:numRef>
              <c:f>'6_гетероскедастичность'!$H$114:$H$154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11538"/>
        <c:axId val="2096108489"/>
      </c:scatterChart>
      <c:valAx>
        <c:axId val="28711538"/>
        <c:scaling>
          <c:orientation val="minMax"/>
          <c:max val="1.0E1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e^2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108489"/>
      </c:valAx>
      <c:valAx>
        <c:axId val="2096108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y^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7115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image1.png"/><Relationship Id="rId5" Type="http://schemas.openxmlformats.org/officeDocument/2006/relationships/chart" Target="../charts/chart5.xml"/><Relationship Id="rId6" Type="http://schemas.openxmlformats.org/officeDocument/2006/relationships/image" Target="../media/image3.png"/><Relationship Id="rId7" Type="http://schemas.openxmlformats.org/officeDocument/2006/relationships/image" Target="../media/image4.png"/><Relationship Id="rId8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image" Target="../media/image3.png"/><Relationship Id="rId7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image" Target="../media/image7.png"/><Relationship Id="rId3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485775</xdr:colOff>
      <xdr:row>17</xdr:row>
      <xdr:rowOff>47625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219075</xdr:colOff>
      <xdr:row>0</xdr:row>
      <xdr:rowOff>85725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476250</xdr:colOff>
      <xdr:row>0</xdr:row>
      <xdr:rowOff>85725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57150</xdr:colOff>
      <xdr:row>17</xdr:row>
      <xdr:rowOff>47625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95</xdr:row>
      <xdr:rowOff>0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57150</xdr:colOff>
      <xdr:row>123</xdr:row>
      <xdr:rowOff>38100</xdr:rowOff>
    </xdr:from>
    <xdr:ext cx="5438775" cy="1619250"/>
    <xdr:pic>
      <xdr:nvPicPr>
        <xdr:cNvPr id="0" name="image3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129</xdr:row>
      <xdr:rowOff>66675</xdr:rowOff>
    </xdr:from>
    <xdr:ext cx="2752725" cy="333375"/>
    <xdr:pic>
      <xdr:nvPicPr>
        <xdr:cNvPr id="0" name="image4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200025</xdr:rowOff>
    </xdr:from>
    <xdr:ext cx="5591175" cy="276225"/>
    <xdr:pic>
      <xdr:nvPicPr>
        <xdr:cNvPr id="0" name="image2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132</xdr:row>
      <xdr:rowOff>142875</xdr:rowOff>
    </xdr:from>
    <xdr:ext cx="4429125" cy="4391025"/>
    <xdr:pic>
      <xdr:nvPicPr>
        <xdr:cNvPr id="0" name="image1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1</xdr:row>
      <xdr:rowOff>114300</xdr:rowOff>
    </xdr:from>
    <xdr:ext cx="5715000" cy="35337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419100</xdr:colOff>
      <xdr:row>1</xdr:row>
      <xdr:rowOff>114300</xdr:rowOff>
    </xdr:from>
    <xdr:ext cx="5715000" cy="35337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200025</xdr:colOff>
      <xdr:row>16</xdr:row>
      <xdr:rowOff>171450</xdr:rowOff>
    </xdr:from>
    <xdr:ext cx="571500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333375</xdr:colOff>
      <xdr:row>17</xdr:row>
      <xdr:rowOff>133350</xdr:rowOff>
    </xdr:from>
    <xdr:ext cx="5715000" cy="353377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161925</xdr:colOff>
      <xdr:row>165</xdr:row>
      <xdr:rowOff>95250</xdr:rowOff>
    </xdr:from>
    <xdr:ext cx="3829050" cy="2362200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57150</xdr:colOff>
      <xdr:row>186</xdr:row>
      <xdr:rowOff>38100</xdr:rowOff>
    </xdr:from>
    <xdr:ext cx="5438775" cy="1619250"/>
    <xdr:pic>
      <xdr:nvPicPr>
        <xdr:cNvPr id="0" name="image3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203</xdr:row>
      <xdr:rowOff>85725</xdr:rowOff>
    </xdr:from>
    <xdr:ext cx="4171950" cy="247650"/>
    <xdr:pic>
      <xdr:nvPicPr>
        <xdr:cNvPr id="0" name="image5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95</xdr:row>
      <xdr:rowOff>190500</xdr:rowOff>
    </xdr:from>
    <xdr:ext cx="5715000" cy="353377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85725</xdr:colOff>
      <xdr:row>96</xdr:row>
      <xdr:rowOff>104775</xdr:rowOff>
    </xdr:from>
    <xdr:ext cx="4810125" cy="1104900"/>
    <xdr:pic>
      <xdr:nvPicPr>
        <xdr:cNvPr id="0" name="image7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143</xdr:row>
      <xdr:rowOff>200025</xdr:rowOff>
    </xdr:from>
    <xdr:ext cx="5791200" cy="1343025"/>
    <xdr:pic>
      <xdr:nvPicPr>
        <xdr:cNvPr id="0" name="image6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156</xdr:row>
      <xdr:rowOff>28575</xdr:rowOff>
    </xdr:from>
    <xdr:ext cx="5981700" cy="3095625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390525</xdr:colOff>
      <xdr:row>155</xdr:row>
      <xdr:rowOff>38100</xdr:rowOff>
    </xdr:from>
    <xdr:ext cx="3476625" cy="2314575"/>
    <xdr:pic>
      <xdr:nvPicPr>
        <xdr:cNvPr id="0" name="image8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bhastian.com/durbin-watson-table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>
        <v>1.0</v>
      </c>
      <c r="B2" s="4">
        <v>12.0</v>
      </c>
      <c r="C2" s="4">
        <v>2.0</v>
      </c>
      <c r="D2" s="4">
        <v>8.0</v>
      </c>
      <c r="E2" s="4">
        <v>139.0</v>
      </c>
      <c r="F2" s="3"/>
      <c r="G2" s="5" t="s">
        <v>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>
        <v>2.0</v>
      </c>
      <c r="B3" s="4">
        <v>17.0</v>
      </c>
      <c r="C3" s="4">
        <v>5.0</v>
      </c>
      <c r="D3" s="4">
        <v>12.0</v>
      </c>
      <c r="E3" s="4">
        <v>182.0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>
        <v>3.0</v>
      </c>
      <c r="B4" s="4">
        <v>14.0</v>
      </c>
      <c r="C4" s="4">
        <v>6.0</v>
      </c>
      <c r="D4" s="4">
        <v>11.0</v>
      </c>
      <c r="E4" s="4">
        <v>164.0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>
        <v>4.0</v>
      </c>
      <c r="B5" s="4">
        <v>13.0</v>
      </c>
      <c r="C5" s="4">
        <v>4.0</v>
      </c>
      <c r="D5" s="4">
        <v>9.0</v>
      </c>
      <c r="E5" s="4">
        <v>150.0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>
        <v>5.0</v>
      </c>
      <c r="B6" s="4">
        <v>16.0</v>
      </c>
      <c r="C6" s="4">
        <v>3.0</v>
      </c>
      <c r="D6" s="4">
        <v>12.0</v>
      </c>
      <c r="E6" s="4">
        <v>176.0</v>
      </c>
      <c r="F6" s="3"/>
      <c r="G6" s="3"/>
      <c r="H6" s="3"/>
      <c r="I6" s="3"/>
      <c r="J6" s="3"/>
      <c r="K6" s="3"/>
      <c r="L6" s="3"/>
      <c r="M6" s="5" t="s">
        <v>5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>
        <v>6.0</v>
      </c>
      <c r="B7" s="4">
        <v>15.0</v>
      </c>
      <c r="C7" s="4">
        <v>2.0</v>
      </c>
      <c r="D7" s="4">
        <v>9.0</v>
      </c>
      <c r="E7" s="4">
        <v>168.0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>
        <v>7.0</v>
      </c>
      <c r="B8" s="4">
        <v>13.0</v>
      </c>
      <c r="C8" s="4">
        <v>6.0</v>
      </c>
      <c r="D8" s="4">
        <v>10.0</v>
      </c>
      <c r="E8" s="4">
        <v>173.0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>
        <v>8.0</v>
      </c>
      <c r="B9" s="4">
        <v>11.0</v>
      </c>
      <c r="C9" s="4">
        <v>5.0</v>
      </c>
      <c r="D9" s="4">
        <v>13.0</v>
      </c>
      <c r="E9" s="4">
        <v>145.0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>
        <v>9.0</v>
      </c>
      <c r="B10" s="4">
        <v>15.0</v>
      </c>
      <c r="C10" s="4">
        <v>4.0</v>
      </c>
      <c r="D10" s="4">
        <v>10.0</v>
      </c>
      <c r="E10" s="4">
        <v>175.0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>
        <v>10.0</v>
      </c>
      <c r="B11" s="4">
        <v>13.0</v>
      </c>
      <c r="C11" s="4">
        <v>6.0</v>
      </c>
      <c r="D11" s="4">
        <v>11.0</v>
      </c>
      <c r="E11" s="4">
        <v>157.0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4">
        <v>11.0</v>
      </c>
      <c r="B12" s="4">
        <v>12.0</v>
      </c>
      <c r="C12" s="4">
        <v>5.0</v>
      </c>
      <c r="D12" s="4">
        <v>14.0</v>
      </c>
      <c r="E12" s="4">
        <v>142.0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4">
        <v>12.0</v>
      </c>
      <c r="B13" s="4">
        <v>15.0</v>
      </c>
      <c r="C13" s="4">
        <v>3.0</v>
      </c>
      <c r="D13" s="4">
        <v>14.0</v>
      </c>
      <c r="E13" s="4">
        <v>151.0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4">
        <v>13.0</v>
      </c>
      <c r="B14" s="4">
        <v>13.0</v>
      </c>
      <c r="C14" s="4">
        <v>2.0</v>
      </c>
      <c r="D14" s="4">
        <v>8.0</v>
      </c>
      <c r="E14" s="4">
        <v>148.0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4">
        <v>14.0</v>
      </c>
      <c r="B15" s="4">
        <v>16.0</v>
      </c>
      <c r="C15" s="4">
        <v>5.0</v>
      </c>
      <c r="D15" s="4">
        <v>11.0</v>
      </c>
      <c r="E15" s="4">
        <v>186.0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4">
        <v>15.0</v>
      </c>
      <c r="B16" s="4">
        <v>17.0</v>
      </c>
      <c r="C16" s="4">
        <v>5.0</v>
      </c>
      <c r="D16" s="4">
        <v>10.0</v>
      </c>
      <c r="E16" s="4">
        <v>201.0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4">
        <v>16.0</v>
      </c>
      <c r="B17" s="4">
        <v>15.0</v>
      </c>
      <c r="C17" s="4">
        <v>4.0</v>
      </c>
      <c r="D17" s="4">
        <v>13.0</v>
      </c>
      <c r="E17" s="4">
        <v>169.0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4">
        <v>17.0</v>
      </c>
      <c r="B18" s="4">
        <v>11.0</v>
      </c>
      <c r="C18" s="4">
        <v>5.0</v>
      </c>
      <c r="D18" s="4">
        <v>12.0</v>
      </c>
      <c r="E18" s="4">
        <v>160.0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4">
        <v>18.0</v>
      </c>
      <c r="B19" s="4">
        <v>14.0</v>
      </c>
      <c r="C19" s="4">
        <v>4.0</v>
      </c>
      <c r="D19" s="4">
        <v>12.0</v>
      </c>
      <c r="E19" s="4">
        <v>151.0</v>
      </c>
      <c r="F19" s="3"/>
      <c r="G19" s="3"/>
      <c r="H19" s="3"/>
      <c r="I19" s="3"/>
      <c r="J19" s="3"/>
      <c r="K19" s="3"/>
      <c r="L19" s="3"/>
      <c r="M19" s="6"/>
      <c r="P19" s="3"/>
      <c r="Q19" s="3"/>
      <c r="R19" s="3"/>
      <c r="S19" s="3"/>
      <c r="T19" s="3"/>
      <c r="U19" s="3"/>
      <c r="V19" s="3"/>
      <c r="W19" s="3"/>
    </row>
    <row r="20">
      <c r="A20" s="4">
        <v>19.0</v>
      </c>
      <c r="B20" s="4">
        <v>13.0</v>
      </c>
      <c r="C20" s="4">
        <v>2.0</v>
      </c>
      <c r="D20" s="4">
        <v>14.0</v>
      </c>
      <c r="E20" s="4">
        <v>129.0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4">
        <v>20.0</v>
      </c>
      <c r="B21" s="7">
        <v>15.0</v>
      </c>
      <c r="C21" s="4">
        <v>3.0</v>
      </c>
      <c r="D21" s="4">
        <v>11.0</v>
      </c>
      <c r="E21" s="4">
        <v>163.0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8"/>
      <c r="Q21" s="3"/>
      <c r="R21" s="3"/>
      <c r="S21" s="3"/>
      <c r="T21" s="3"/>
      <c r="U21" s="3"/>
      <c r="V21" s="3"/>
      <c r="W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8"/>
      <c r="Q22" s="3"/>
      <c r="R22" s="3"/>
      <c r="S22" s="3"/>
      <c r="T22" s="3"/>
      <c r="U22" s="3"/>
      <c r="V22" s="3"/>
      <c r="W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8"/>
      <c r="Q23" s="3"/>
      <c r="R23" s="3"/>
      <c r="S23" s="3"/>
      <c r="T23" s="3"/>
      <c r="U23" s="3"/>
      <c r="V23" s="3"/>
      <c r="W23" s="3"/>
    </row>
    <row r="24">
      <c r="A24" s="3" t="s">
        <v>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6"/>
      <c r="O24" s="3"/>
      <c r="P24" s="3"/>
      <c r="Q24" s="3"/>
      <c r="R24" s="3"/>
      <c r="S24" s="3"/>
      <c r="T24" s="3"/>
      <c r="U24" s="3"/>
      <c r="V24" s="3"/>
      <c r="W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9" t="s">
        <v>7</v>
      </c>
      <c r="B26" s="1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 t="s">
        <v>8</v>
      </c>
      <c r="B27" s="11">
        <v>0.9136766048232766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 t="s">
        <v>9</v>
      </c>
      <c r="B28" s="11">
        <v>0.83480493820139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 t="s">
        <v>10</v>
      </c>
      <c r="B29" s="11">
        <v>0.8038308641141507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 t="s">
        <v>11</v>
      </c>
      <c r="B30" s="11">
        <v>7.8608372053792355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12" t="s">
        <v>12</v>
      </c>
      <c r="B31" s="13">
        <v>20.0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3" t="s">
        <v>13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10"/>
      <c r="B34" s="9" t="s">
        <v>14</v>
      </c>
      <c r="C34" s="9" t="s">
        <v>15</v>
      </c>
      <c r="D34" s="9" t="s">
        <v>16</v>
      </c>
      <c r="E34" s="9" t="s">
        <v>17</v>
      </c>
      <c r="F34" s="9" t="s">
        <v>18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 t="s">
        <v>19</v>
      </c>
      <c r="B35" s="11">
        <v>3.0</v>
      </c>
      <c r="C35" s="11">
        <v>4996.26581488841</v>
      </c>
      <c r="D35" s="11">
        <v>1665.4219382961367</v>
      </c>
      <c r="E35" s="11">
        <v>26.951731820946062</v>
      </c>
      <c r="F35" s="11">
        <v>1.7100917575341157E-6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 t="s">
        <v>20</v>
      </c>
      <c r="B36" s="11">
        <v>16.0</v>
      </c>
      <c r="C36" s="11">
        <v>988.6841851115908</v>
      </c>
      <c r="D36" s="11">
        <v>61.79276156947442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12" t="s">
        <v>21</v>
      </c>
      <c r="B37" s="13">
        <v>19.0</v>
      </c>
      <c r="C37" s="13">
        <v>5984.950000000001</v>
      </c>
      <c r="D37" s="12"/>
      <c r="E37" s="12"/>
      <c r="F37" s="1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1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10"/>
      <c r="B39" s="9" t="s">
        <v>22</v>
      </c>
      <c r="C39" s="9" t="s">
        <v>11</v>
      </c>
      <c r="D39" s="9" t="s">
        <v>23</v>
      </c>
      <c r="E39" s="9" t="s">
        <v>24</v>
      </c>
      <c r="F39" s="9" t="s">
        <v>25</v>
      </c>
      <c r="G39" s="9" t="s">
        <v>26</v>
      </c>
      <c r="H39" s="9" t="s">
        <v>25</v>
      </c>
      <c r="I39" s="9" t="s">
        <v>26</v>
      </c>
      <c r="J39" s="1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 t="s">
        <v>27</v>
      </c>
      <c r="B40" s="11">
        <v>59.0740478870448</v>
      </c>
      <c r="C40" s="11">
        <v>18.362040046711826</v>
      </c>
      <c r="D40" s="11">
        <v>3.21718326159644</v>
      </c>
      <c r="E40" s="11">
        <v>0.005379838165951633</v>
      </c>
      <c r="F40" s="11">
        <v>20.14826214500041</v>
      </c>
      <c r="G40" s="11">
        <v>97.99983362908918</v>
      </c>
      <c r="H40" s="11">
        <v>20.14826214500041</v>
      </c>
      <c r="I40" s="11">
        <v>97.99983362908918</v>
      </c>
      <c r="J40" s="1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 t="s">
        <v>1</v>
      </c>
      <c r="B41" s="11">
        <v>7.613297276503889</v>
      </c>
      <c r="C41" s="11">
        <v>0.999469984881918</v>
      </c>
      <c r="D41" s="11">
        <v>7.617334578990243</v>
      </c>
      <c r="E41" s="11">
        <v>1.0411883255461376E-6</v>
      </c>
      <c r="F41" s="11">
        <v>5.494515573155802</v>
      </c>
      <c r="G41" s="11">
        <v>9.732078979851977</v>
      </c>
      <c r="H41" s="11">
        <v>5.494515573155802</v>
      </c>
      <c r="I41" s="11">
        <v>9.732078979851977</v>
      </c>
      <c r="J41" s="1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 t="s">
        <v>2</v>
      </c>
      <c r="B42" s="11">
        <v>6.0904928895444925</v>
      </c>
      <c r="C42" s="11">
        <v>1.3198222734306282</v>
      </c>
      <c r="D42" s="11">
        <v>4.614631084921312</v>
      </c>
      <c r="E42" s="11">
        <v>2.8699076945559835E-4</v>
      </c>
      <c r="F42" s="11">
        <v>3.2925946765766727</v>
      </c>
      <c r="G42" s="11">
        <v>8.888391102512312</v>
      </c>
      <c r="H42" s="11">
        <v>3.2925946765766727</v>
      </c>
      <c r="I42" s="11">
        <v>8.888391102512312</v>
      </c>
      <c r="J42" s="1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12" t="s">
        <v>3</v>
      </c>
      <c r="B43" s="13">
        <v>-2.578277317924517</v>
      </c>
      <c r="C43" s="13">
        <v>0.9782889184230881</v>
      </c>
      <c r="D43" s="13">
        <v>-2.6354968040325586</v>
      </c>
      <c r="E43" s="13">
        <v>0.017993418106717608</v>
      </c>
      <c r="F43" s="13">
        <v>-4.652157166540398</v>
      </c>
      <c r="G43" s="13">
        <v>-0.5043974693086359</v>
      </c>
      <c r="H43" s="13">
        <v>-4.652157166540398</v>
      </c>
      <c r="I43" s="13">
        <v>-0.5043974693086359</v>
      </c>
      <c r="J43" s="1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1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1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1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 t="s">
        <v>28</v>
      </c>
      <c r="B47" s="3"/>
      <c r="C47" s="3"/>
      <c r="D47" s="3"/>
      <c r="E47" s="3"/>
      <c r="F47" s="3"/>
      <c r="G47" s="3"/>
      <c r="H47" s="3"/>
      <c r="I47" s="3"/>
      <c r="J47" s="1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1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9" t="s">
        <v>29</v>
      </c>
      <c r="B49" s="9" t="s">
        <v>30</v>
      </c>
      <c r="C49" s="9" t="s">
        <v>31</v>
      </c>
      <c r="D49" s="3"/>
      <c r="E49" s="3"/>
      <c r="F49" s="3"/>
      <c r="G49" s="3"/>
      <c r="H49" s="3"/>
      <c r="I49" s="3"/>
      <c r="J49" s="1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11">
        <v>1.0</v>
      </c>
      <c r="B50" s="11">
        <v>141.98838244078433</v>
      </c>
      <c r="C50" s="11">
        <v>-2.988382440784335</v>
      </c>
      <c r="D50" s="3"/>
      <c r="E50" s="3"/>
      <c r="F50" s="3"/>
      <c r="G50" s="3"/>
      <c r="H50" s="3"/>
      <c r="I50" s="3"/>
      <c r="J50" s="1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11">
        <v>2.0</v>
      </c>
      <c r="B51" s="11">
        <v>188.01323822023917</v>
      </c>
      <c r="C51" s="11">
        <v>-6.013238220239174</v>
      </c>
      <c r="D51" s="3"/>
      <c r="E51" s="3"/>
      <c r="F51" s="3"/>
      <c r="G51" s="3"/>
      <c r="H51" s="3"/>
      <c r="I51" s="3"/>
      <c r="J51" s="1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11">
        <v>3.0</v>
      </c>
      <c r="B52" s="11">
        <v>173.84211659819653</v>
      </c>
      <c r="C52" s="11">
        <v>-9.842116598196526</v>
      </c>
      <c r="D52" s="3"/>
      <c r="E52" s="3"/>
      <c r="F52" s="3"/>
      <c r="G52" s="3"/>
      <c r="H52" s="3"/>
      <c r="I52" s="3"/>
      <c r="J52" s="1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11">
        <v>4.0</v>
      </c>
      <c r="B53" s="11">
        <v>159.2043881784527</v>
      </c>
      <c r="C53" s="11">
        <v>-9.204388178452689</v>
      </c>
      <c r="D53" s="3"/>
      <c r="E53" s="3"/>
      <c r="F53" s="3"/>
      <c r="G53" s="3"/>
      <c r="H53" s="3"/>
      <c r="I53" s="3"/>
      <c r="J53" s="1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11">
        <v>5.0</v>
      </c>
      <c r="B54" s="11">
        <v>168.2189551646463</v>
      </c>
      <c r="C54" s="11">
        <v>7.781044835353697</v>
      </c>
      <c r="D54" s="3"/>
      <c r="E54" s="3"/>
      <c r="F54" s="3"/>
      <c r="G54" s="3"/>
      <c r="H54" s="3"/>
      <c r="I54" s="3"/>
      <c r="J54" s="14"/>
      <c r="K54" s="14"/>
      <c r="L54" s="14"/>
      <c r="M54" s="14"/>
      <c r="N54" s="14"/>
      <c r="O54" s="14"/>
      <c r="P54" s="14"/>
      <c r="Q54" s="14"/>
      <c r="R54" s="3"/>
      <c r="S54" s="3"/>
      <c r="T54" s="3"/>
      <c r="U54" s="3"/>
      <c r="V54" s="3"/>
      <c r="W54" s="3"/>
    </row>
    <row r="55">
      <c r="A55" s="11">
        <v>6.0</v>
      </c>
      <c r="B55" s="11">
        <v>162.24999695237148</v>
      </c>
      <c r="C55" s="11">
        <v>5.750003047628525</v>
      </c>
      <c r="D55" s="3"/>
      <c r="E55" s="3"/>
      <c r="F55" s="3"/>
      <c r="G55" s="3"/>
      <c r="H55" s="3"/>
      <c r="I55" s="3"/>
      <c r="J55" s="14"/>
      <c r="K55" s="15"/>
      <c r="N55" s="14"/>
      <c r="O55" s="14"/>
      <c r="P55" s="14"/>
      <c r="Q55" s="14"/>
      <c r="R55" s="3"/>
      <c r="S55" s="3"/>
      <c r="T55" s="3"/>
      <c r="U55" s="3"/>
      <c r="V55" s="3"/>
      <c r="W55" s="3"/>
    </row>
    <row r="56">
      <c r="A56" s="11">
        <v>7.0</v>
      </c>
      <c r="B56" s="11">
        <v>168.80709663961716</v>
      </c>
      <c r="C56" s="11">
        <v>4.192903360382843</v>
      </c>
      <c r="D56" s="3"/>
      <c r="E56" s="3"/>
      <c r="F56" s="3"/>
      <c r="G56" s="3"/>
      <c r="H56" s="3"/>
      <c r="I56" s="3"/>
      <c r="J56" s="14"/>
      <c r="K56" s="14"/>
      <c r="L56" s="14"/>
      <c r="M56" s="14"/>
      <c r="N56" s="14"/>
      <c r="O56" s="14"/>
      <c r="P56" s="14"/>
      <c r="Q56" s="14"/>
      <c r="R56" s="3"/>
      <c r="S56" s="3"/>
      <c r="T56" s="3"/>
      <c r="U56" s="3"/>
      <c r="V56" s="3"/>
      <c r="W56" s="3"/>
    </row>
    <row r="57">
      <c r="A57" s="11">
        <v>8.0</v>
      </c>
      <c r="B57" s="11">
        <v>139.75517724329134</v>
      </c>
      <c r="C57" s="11">
        <v>5.244822756708658</v>
      </c>
      <c r="D57" s="3"/>
      <c r="E57" s="3"/>
      <c r="F57" s="3"/>
      <c r="G57" s="3"/>
      <c r="H57" s="3"/>
      <c r="I57" s="3"/>
      <c r="J57" s="14"/>
      <c r="K57" s="14"/>
      <c r="L57" s="16"/>
      <c r="M57" s="14"/>
      <c r="N57" s="16"/>
      <c r="O57" s="14"/>
      <c r="P57" s="14"/>
      <c r="Q57" s="14"/>
      <c r="R57" s="3"/>
      <c r="S57" s="3"/>
      <c r="T57" s="3"/>
      <c r="U57" s="3"/>
      <c r="V57" s="3"/>
      <c r="W57" s="3"/>
    </row>
    <row r="58">
      <c r="A58" s="11">
        <v>9.0</v>
      </c>
      <c r="B58" s="11">
        <v>171.85270541353594</v>
      </c>
      <c r="C58" s="11">
        <v>3.1472945864640565</v>
      </c>
      <c r="D58" s="3"/>
      <c r="E58" s="3"/>
      <c r="F58" s="3"/>
      <c r="G58" s="3"/>
      <c r="H58" s="3"/>
      <c r="I58" s="3"/>
      <c r="J58" s="14"/>
      <c r="K58" s="14"/>
      <c r="L58" s="16"/>
      <c r="M58" s="14"/>
      <c r="N58" s="16"/>
      <c r="O58" s="14"/>
      <c r="P58" s="14"/>
      <c r="Q58" s="14"/>
      <c r="R58" s="3"/>
      <c r="S58" s="3"/>
      <c r="T58" s="3"/>
      <c r="U58" s="3"/>
      <c r="V58" s="3"/>
      <c r="W58" s="3"/>
    </row>
    <row r="59">
      <c r="A59" s="11">
        <v>10.0</v>
      </c>
      <c r="B59" s="11">
        <v>166.22881932169264</v>
      </c>
      <c r="C59" s="11">
        <v>-9.22881932169264</v>
      </c>
      <c r="D59" s="3"/>
      <c r="E59" s="3"/>
      <c r="F59" s="3"/>
      <c r="G59" s="3"/>
      <c r="H59" s="3"/>
      <c r="I59" s="3"/>
      <c r="J59" s="14"/>
      <c r="K59" s="14"/>
      <c r="L59" s="16"/>
      <c r="M59" s="14"/>
      <c r="N59" s="16"/>
      <c r="O59" s="14"/>
      <c r="P59" s="14"/>
      <c r="Q59" s="14"/>
      <c r="R59" s="3"/>
      <c r="S59" s="3"/>
      <c r="T59" s="3"/>
      <c r="U59" s="3"/>
      <c r="V59" s="3"/>
      <c r="W59" s="3"/>
    </row>
    <row r="60">
      <c r="A60" s="11">
        <v>11.0</v>
      </c>
      <c r="B60" s="11">
        <v>144.7901972018707</v>
      </c>
      <c r="C60" s="11">
        <v>-2.7901972018707113</v>
      </c>
      <c r="D60" s="3"/>
      <c r="E60" s="3"/>
      <c r="F60" s="3"/>
      <c r="G60" s="3"/>
      <c r="H60" s="3"/>
      <c r="I60" s="3"/>
      <c r="J60" s="3"/>
      <c r="K60" s="15"/>
      <c r="M60" s="14"/>
      <c r="N60" s="14"/>
      <c r="O60" s="14"/>
      <c r="P60" s="14"/>
      <c r="Q60" s="14"/>
      <c r="R60" s="3"/>
      <c r="S60" s="3"/>
      <c r="T60" s="3"/>
      <c r="U60" s="3"/>
      <c r="V60" s="3"/>
      <c r="W60" s="3"/>
    </row>
    <row r="61">
      <c r="A61" s="11">
        <v>12.0</v>
      </c>
      <c r="B61" s="11">
        <v>155.44910325229338</v>
      </c>
      <c r="C61" s="11">
        <v>-4.4491032522933835</v>
      </c>
      <c r="D61" s="3"/>
      <c r="E61" s="3"/>
      <c r="F61" s="3"/>
      <c r="G61" s="3"/>
      <c r="H61" s="3"/>
      <c r="I61" s="3"/>
      <c r="J61" s="3"/>
      <c r="K61" s="14"/>
      <c r="L61" s="14"/>
      <c r="M61" s="14"/>
      <c r="N61" s="14"/>
      <c r="O61" s="14"/>
      <c r="P61" s="14"/>
      <c r="Q61" s="14"/>
      <c r="R61" s="3"/>
      <c r="S61" s="3"/>
      <c r="T61" s="3"/>
      <c r="U61" s="3"/>
      <c r="V61" s="3"/>
      <c r="W61" s="3"/>
    </row>
    <row r="62">
      <c r="A62" s="11">
        <v>13.0</v>
      </c>
      <c r="B62" s="11">
        <v>149.60167971728822</v>
      </c>
      <c r="C62" s="11">
        <v>-1.6016797172882207</v>
      </c>
      <c r="D62" s="3"/>
      <c r="E62" s="3"/>
      <c r="F62" s="3"/>
      <c r="G62" s="3"/>
      <c r="H62" s="3"/>
      <c r="I62" s="3"/>
      <c r="J62" s="3"/>
      <c r="K62" s="14"/>
      <c r="L62" s="14"/>
      <c r="M62" s="14"/>
      <c r="N62" s="14"/>
      <c r="O62" s="14"/>
      <c r="P62" s="14"/>
      <c r="Q62" s="14"/>
      <c r="R62" s="3"/>
      <c r="S62" s="3"/>
      <c r="T62" s="3"/>
      <c r="U62" s="3"/>
      <c r="V62" s="3"/>
      <c r="W62" s="3"/>
    </row>
    <row r="63">
      <c r="A63" s="11">
        <v>14.0</v>
      </c>
      <c r="B63" s="11">
        <v>182.9782182616598</v>
      </c>
      <c r="C63" s="11">
        <v>3.021781738340195</v>
      </c>
      <c r="D63" s="3"/>
      <c r="E63" s="3"/>
      <c r="F63" s="3"/>
      <c r="G63" s="3"/>
      <c r="H63" s="3"/>
      <c r="I63" s="3"/>
      <c r="J63" s="3"/>
      <c r="K63" s="16"/>
      <c r="L63" s="16"/>
      <c r="M63" s="16"/>
      <c r="N63" s="16"/>
      <c r="O63" s="16"/>
      <c r="P63" s="16"/>
      <c r="Q63" s="14"/>
      <c r="R63" s="3"/>
      <c r="S63" s="3"/>
      <c r="T63" s="3"/>
      <c r="U63" s="3"/>
      <c r="V63" s="3"/>
      <c r="W63" s="3"/>
    </row>
    <row r="64">
      <c r="A64" s="11">
        <v>15.0</v>
      </c>
      <c r="B64" s="11">
        <v>193.1697928560882</v>
      </c>
      <c r="C64" s="11">
        <v>7.830207143911792</v>
      </c>
      <c r="D64" s="3"/>
      <c r="E64" s="3"/>
      <c r="F64" s="3"/>
      <c r="G64" s="3"/>
      <c r="H64" s="3"/>
      <c r="I64" s="3"/>
      <c r="J64" s="3"/>
      <c r="K64" s="16"/>
      <c r="L64" s="16"/>
      <c r="M64" s="16"/>
      <c r="N64" s="16"/>
      <c r="O64" s="16"/>
      <c r="P64" s="16"/>
      <c r="Q64" s="14"/>
      <c r="R64" s="3"/>
      <c r="S64" s="3"/>
      <c r="T64" s="3"/>
      <c r="U64" s="3"/>
      <c r="V64" s="3"/>
      <c r="W64" s="3"/>
    </row>
    <row r="65">
      <c r="A65" s="11">
        <v>16.0</v>
      </c>
      <c r="B65" s="11">
        <v>164.1178734597624</v>
      </c>
      <c r="C65" s="11">
        <v>4.882126540237607</v>
      </c>
      <c r="D65" s="3"/>
      <c r="E65" s="3"/>
      <c r="F65" s="3"/>
      <c r="G65" s="3"/>
      <c r="H65" s="3"/>
      <c r="I65" s="3"/>
      <c r="J65" s="3"/>
      <c r="K65" s="16"/>
      <c r="L65" s="16"/>
      <c r="M65" s="16"/>
      <c r="N65" s="16"/>
      <c r="O65" s="16"/>
      <c r="P65" s="16"/>
      <c r="Q65" s="14"/>
      <c r="R65" s="3"/>
      <c r="S65" s="3"/>
      <c r="T65" s="3"/>
      <c r="U65" s="3"/>
      <c r="V65" s="3"/>
      <c r="W65" s="3"/>
    </row>
    <row r="66">
      <c r="A66" s="11">
        <v>17.0</v>
      </c>
      <c r="B66" s="11">
        <v>142.33345456121586</v>
      </c>
      <c r="C66" s="11">
        <v>17.66654543878414</v>
      </c>
      <c r="D66" s="3"/>
      <c r="E66" s="3"/>
      <c r="F66" s="3"/>
      <c r="G66" s="3"/>
      <c r="H66" s="3"/>
      <c r="I66" s="3"/>
      <c r="J66" s="3"/>
      <c r="K66" s="14"/>
      <c r="L66" s="14"/>
      <c r="M66" s="14"/>
      <c r="N66" s="14"/>
      <c r="O66" s="14"/>
      <c r="P66" s="14"/>
      <c r="Q66" s="14"/>
      <c r="R66" s="3"/>
      <c r="S66" s="3"/>
      <c r="T66" s="3"/>
      <c r="U66" s="3"/>
      <c r="V66" s="3"/>
      <c r="W66" s="3"/>
    </row>
    <row r="67">
      <c r="A67" s="11">
        <v>18.0</v>
      </c>
      <c r="B67" s="11">
        <v>159.08285350118302</v>
      </c>
      <c r="C67" s="11">
        <v>-8.082853501183024</v>
      </c>
      <c r="D67" s="3"/>
      <c r="E67" s="3"/>
      <c r="F67" s="3"/>
      <c r="G67" s="3"/>
      <c r="H67" s="3"/>
      <c r="I67" s="3"/>
      <c r="J67" s="3"/>
      <c r="K67" s="14"/>
      <c r="L67" s="14"/>
      <c r="M67" s="14"/>
      <c r="N67" s="14"/>
      <c r="O67" s="14"/>
      <c r="P67" s="14"/>
      <c r="Q67" s="14"/>
      <c r="R67" s="3"/>
      <c r="S67" s="3"/>
      <c r="T67" s="3"/>
      <c r="U67" s="3"/>
      <c r="V67" s="3"/>
      <c r="W67" s="3"/>
    </row>
    <row r="68">
      <c r="A68" s="11">
        <v>19.0</v>
      </c>
      <c r="B68" s="11">
        <v>134.13201580974112</v>
      </c>
      <c r="C68" s="11">
        <v>-5.1320158097411195</v>
      </c>
      <c r="D68" s="3"/>
      <c r="E68" s="3"/>
      <c r="F68" s="3"/>
      <c r="G68" s="3"/>
      <c r="H68" s="3"/>
      <c r="I68" s="3"/>
      <c r="J68" s="3"/>
      <c r="K68" s="16"/>
      <c r="L68" s="14"/>
      <c r="M68" s="14"/>
      <c r="N68" s="14"/>
      <c r="O68" s="14"/>
      <c r="P68" s="14"/>
      <c r="Q68" s="14"/>
      <c r="R68" s="3"/>
      <c r="S68" s="3"/>
      <c r="T68" s="3"/>
      <c r="U68" s="3"/>
      <c r="V68" s="3"/>
      <c r="W68" s="3"/>
    </row>
    <row r="69">
      <c r="A69" s="13">
        <v>20.0</v>
      </c>
      <c r="B69" s="13">
        <v>163.18393520606693</v>
      </c>
      <c r="C69" s="13">
        <v>-0.18393520606693414</v>
      </c>
      <c r="D69" s="3"/>
      <c r="E69" s="3"/>
      <c r="F69" s="3"/>
      <c r="G69" s="3"/>
      <c r="H69" s="3"/>
      <c r="I69" s="3"/>
      <c r="J69" s="3"/>
      <c r="K69" s="14"/>
      <c r="L69" s="14"/>
      <c r="M69" s="14"/>
      <c r="N69" s="14"/>
      <c r="O69" s="14"/>
      <c r="P69" s="14"/>
      <c r="Q69" s="14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14"/>
      <c r="L70" s="14"/>
      <c r="M70" s="14"/>
      <c r="N70" s="14"/>
      <c r="O70" s="14"/>
      <c r="P70" s="14"/>
      <c r="Q70" s="14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16"/>
      <c r="L71" s="14"/>
      <c r="M71" s="16"/>
      <c r="N71" s="14"/>
      <c r="O71" s="14"/>
      <c r="P71" s="14"/>
      <c r="Q71" s="14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16"/>
      <c r="L72" s="14"/>
      <c r="M72" s="16"/>
      <c r="N72" s="14"/>
      <c r="O72" s="14"/>
      <c r="P72" s="14"/>
      <c r="Q72" s="14"/>
      <c r="R72" s="3"/>
      <c r="S72" s="3"/>
      <c r="T72" s="3"/>
      <c r="U72" s="3"/>
      <c r="V72" s="3"/>
      <c r="W72" s="3"/>
    </row>
    <row r="73">
      <c r="A73" s="17" t="s">
        <v>32</v>
      </c>
      <c r="B73" s="17" t="s">
        <v>1</v>
      </c>
      <c r="C73" s="17" t="s">
        <v>2</v>
      </c>
      <c r="D73" s="17" t="s">
        <v>3</v>
      </c>
      <c r="E73" s="17" t="s">
        <v>4</v>
      </c>
      <c r="F73" s="18" t="s">
        <v>33</v>
      </c>
      <c r="G73" s="19" t="s">
        <v>34</v>
      </c>
      <c r="H73" s="20" t="s">
        <v>35</v>
      </c>
      <c r="I73" s="19" t="s">
        <v>36</v>
      </c>
      <c r="J73" s="19" t="s">
        <v>37</v>
      </c>
      <c r="K73" s="19" t="s">
        <v>38</v>
      </c>
      <c r="L73" s="14"/>
      <c r="M73" s="16"/>
      <c r="N73" s="14"/>
      <c r="O73" s="14"/>
      <c r="P73" s="14"/>
      <c r="Q73" s="14"/>
      <c r="R73" s="3"/>
      <c r="S73" s="3"/>
      <c r="T73" s="3"/>
      <c r="U73" s="3"/>
      <c r="V73" s="3"/>
      <c r="W73" s="3"/>
    </row>
    <row r="74">
      <c r="A74" s="21">
        <v>1.0</v>
      </c>
      <c r="B74" s="21">
        <v>12.0</v>
      </c>
      <c r="C74" s="21">
        <v>2.0</v>
      </c>
      <c r="D74" s="21">
        <v>8.0</v>
      </c>
      <c r="E74" s="21">
        <v>139.0</v>
      </c>
      <c r="F74" s="22">
        <f t="shared" ref="F74:F93" si="1">$B$40 + $B$41 * B74 + $B$42 * C74 + $B$43 * D74</f>
        <v>141.9883824</v>
      </c>
      <c r="G74" s="23">
        <f t="shared" ref="G74:G93" si="2">E74-F74</f>
        <v>-2.988382441</v>
      </c>
      <c r="H74" s="24"/>
      <c r="I74" s="23"/>
      <c r="J74" s="23"/>
      <c r="K74" s="23">
        <f t="shared" ref="K74:K93" si="3">G74^2</f>
        <v>8.930429612</v>
      </c>
      <c r="L74" s="14"/>
      <c r="M74" s="14"/>
      <c r="N74" s="14"/>
      <c r="O74" s="14"/>
      <c r="P74" s="14"/>
      <c r="Q74" s="14"/>
      <c r="R74" s="3"/>
      <c r="S74" s="3"/>
      <c r="T74" s="3"/>
      <c r="U74" s="3"/>
      <c r="V74" s="3"/>
      <c r="W74" s="3"/>
    </row>
    <row r="75">
      <c r="A75" s="21">
        <v>2.0</v>
      </c>
      <c r="B75" s="21">
        <v>17.0</v>
      </c>
      <c r="C75" s="21">
        <v>5.0</v>
      </c>
      <c r="D75" s="21">
        <v>12.0</v>
      </c>
      <c r="E75" s="21">
        <v>182.0</v>
      </c>
      <c r="F75" s="22">
        <f t="shared" si="1"/>
        <v>188.0132382</v>
      </c>
      <c r="G75" s="23">
        <f t="shared" si="2"/>
        <v>-6.01323822</v>
      </c>
      <c r="H75" s="24">
        <f t="shared" ref="H75:H93" si="4">G74</f>
        <v>-2.988382441</v>
      </c>
      <c r="I75" s="23">
        <f t="shared" ref="I75:I93" si="5">G75-G74</f>
        <v>-3.024855779</v>
      </c>
      <c r="J75" s="23">
        <f t="shared" ref="J75:J93" si="6">I75^2</f>
        <v>9.149752487</v>
      </c>
      <c r="K75" s="23">
        <f t="shared" si="3"/>
        <v>36.15903389</v>
      </c>
      <c r="L75" s="14"/>
      <c r="M75" s="14"/>
      <c r="N75" s="14"/>
      <c r="O75" s="14"/>
      <c r="P75" s="14"/>
      <c r="Q75" s="14"/>
      <c r="R75" s="3"/>
      <c r="S75" s="3"/>
      <c r="T75" s="3"/>
      <c r="U75" s="3"/>
      <c r="V75" s="3"/>
      <c r="W75" s="3"/>
    </row>
    <row r="76">
      <c r="A76" s="21">
        <v>3.0</v>
      </c>
      <c r="B76" s="21">
        <v>14.0</v>
      </c>
      <c r="C76" s="21">
        <v>6.0</v>
      </c>
      <c r="D76" s="21">
        <v>11.0</v>
      </c>
      <c r="E76" s="21">
        <v>164.0</v>
      </c>
      <c r="F76" s="22">
        <f t="shared" si="1"/>
        <v>173.8421166</v>
      </c>
      <c r="G76" s="23">
        <f t="shared" si="2"/>
        <v>-9.842116598</v>
      </c>
      <c r="H76" s="24">
        <f t="shared" si="4"/>
        <v>-6.01323822</v>
      </c>
      <c r="I76" s="23">
        <f t="shared" si="5"/>
        <v>-3.828878378</v>
      </c>
      <c r="J76" s="23">
        <f t="shared" si="6"/>
        <v>14.66030963</v>
      </c>
      <c r="K76" s="23">
        <f t="shared" si="3"/>
        <v>96.86725913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21">
        <v>4.0</v>
      </c>
      <c r="B77" s="21">
        <v>13.0</v>
      </c>
      <c r="C77" s="21">
        <v>4.0</v>
      </c>
      <c r="D77" s="21">
        <v>9.0</v>
      </c>
      <c r="E77" s="21">
        <v>150.0</v>
      </c>
      <c r="F77" s="22">
        <f t="shared" si="1"/>
        <v>159.2043882</v>
      </c>
      <c r="G77" s="23">
        <f t="shared" si="2"/>
        <v>-9.204388178</v>
      </c>
      <c r="H77" s="24">
        <f t="shared" si="4"/>
        <v>-9.842116598</v>
      </c>
      <c r="I77" s="23">
        <f t="shared" si="5"/>
        <v>0.6377284197</v>
      </c>
      <c r="J77" s="23">
        <f t="shared" si="6"/>
        <v>0.4066975373</v>
      </c>
      <c r="K77" s="23">
        <f t="shared" si="3"/>
        <v>84.72076174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21">
        <v>5.0</v>
      </c>
      <c r="B78" s="21">
        <v>16.0</v>
      </c>
      <c r="C78" s="21">
        <v>3.0</v>
      </c>
      <c r="D78" s="21">
        <v>12.0</v>
      </c>
      <c r="E78" s="21">
        <v>176.0</v>
      </c>
      <c r="F78" s="22">
        <f t="shared" si="1"/>
        <v>168.2189552</v>
      </c>
      <c r="G78" s="23">
        <f t="shared" si="2"/>
        <v>7.781044835</v>
      </c>
      <c r="H78" s="24">
        <f t="shared" si="4"/>
        <v>-9.204388178</v>
      </c>
      <c r="I78" s="23">
        <f t="shared" si="5"/>
        <v>16.98543301</v>
      </c>
      <c r="J78" s="23">
        <f t="shared" si="6"/>
        <v>288.5049347</v>
      </c>
      <c r="K78" s="23">
        <f t="shared" si="3"/>
        <v>60.54465873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21">
        <v>6.0</v>
      </c>
      <c r="B79" s="21">
        <v>15.0</v>
      </c>
      <c r="C79" s="21">
        <v>2.0</v>
      </c>
      <c r="D79" s="21">
        <v>9.0</v>
      </c>
      <c r="E79" s="21">
        <v>168.0</v>
      </c>
      <c r="F79" s="22">
        <f t="shared" si="1"/>
        <v>162.249997</v>
      </c>
      <c r="G79" s="23">
        <f t="shared" si="2"/>
        <v>5.750003048</v>
      </c>
      <c r="H79" s="24">
        <f t="shared" si="4"/>
        <v>7.781044835</v>
      </c>
      <c r="I79" s="23">
        <f t="shared" si="5"/>
        <v>-2.031041788</v>
      </c>
      <c r="J79" s="23">
        <f t="shared" si="6"/>
        <v>4.125130743</v>
      </c>
      <c r="K79" s="23">
        <f t="shared" si="3"/>
        <v>33.06253505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21">
        <v>7.0</v>
      </c>
      <c r="B80" s="21">
        <v>13.0</v>
      </c>
      <c r="C80" s="21">
        <v>6.0</v>
      </c>
      <c r="D80" s="21">
        <v>10.0</v>
      </c>
      <c r="E80" s="21">
        <v>173.0</v>
      </c>
      <c r="F80" s="22">
        <f t="shared" si="1"/>
        <v>168.8070966</v>
      </c>
      <c r="G80" s="23">
        <f t="shared" si="2"/>
        <v>4.19290336</v>
      </c>
      <c r="H80" s="24">
        <f t="shared" si="4"/>
        <v>5.750003048</v>
      </c>
      <c r="I80" s="23">
        <f t="shared" si="5"/>
        <v>-1.557099687</v>
      </c>
      <c r="J80" s="23">
        <f t="shared" si="6"/>
        <v>2.424559436</v>
      </c>
      <c r="K80" s="23">
        <f t="shared" si="3"/>
        <v>17.58043859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21">
        <v>8.0</v>
      </c>
      <c r="B81" s="21">
        <v>11.0</v>
      </c>
      <c r="C81" s="21">
        <v>5.0</v>
      </c>
      <c r="D81" s="21">
        <v>13.0</v>
      </c>
      <c r="E81" s="21">
        <v>145.0</v>
      </c>
      <c r="F81" s="22">
        <f t="shared" si="1"/>
        <v>139.7551772</v>
      </c>
      <c r="G81" s="23">
        <f t="shared" si="2"/>
        <v>5.244822757</v>
      </c>
      <c r="H81" s="24">
        <f t="shared" si="4"/>
        <v>4.19290336</v>
      </c>
      <c r="I81" s="23">
        <f t="shared" si="5"/>
        <v>1.051919396</v>
      </c>
      <c r="J81" s="23">
        <f t="shared" si="6"/>
        <v>1.106534416</v>
      </c>
      <c r="K81" s="23">
        <f t="shared" si="3"/>
        <v>27.50816575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21">
        <v>9.0</v>
      </c>
      <c r="B82" s="21">
        <v>15.0</v>
      </c>
      <c r="C82" s="21">
        <v>4.0</v>
      </c>
      <c r="D82" s="21">
        <v>10.0</v>
      </c>
      <c r="E82" s="21">
        <v>175.0</v>
      </c>
      <c r="F82" s="22">
        <f t="shared" si="1"/>
        <v>171.8527054</v>
      </c>
      <c r="G82" s="23">
        <f t="shared" si="2"/>
        <v>3.147294586</v>
      </c>
      <c r="H82" s="24">
        <f t="shared" si="4"/>
        <v>5.244822757</v>
      </c>
      <c r="I82" s="23">
        <f t="shared" si="5"/>
        <v>-2.09752817</v>
      </c>
      <c r="J82" s="23">
        <f t="shared" si="6"/>
        <v>4.399624425</v>
      </c>
      <c r="K82" s="23">
        <f t="shared" si="3"/>
        <v>9.905463214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21">
        <v>10.0</v>
      </c>
      <c r="B83" s="21">
        <v>13.0</v>
      </c>
      <c r="C83" s="21">
        <v>6.0</v>
      </c>
      <c r="D83" s="21">
        <v>11.0</v>
      </c>
      <c r="E83" s="21">
        <v>157.0</v>
      </c>
      <c r="F83" s="22">
        <f t="shared" si="1"/>
        <v>166.2288193</v>
      </c>
      <c r="G83" s="23">
        <f t="shared" si="2"/>
        <v>-9.228819322</v>
      </c>
      <c r="H83" s="24">
        <f t="shared" si="4"/>
        <v>3.147294586</v>
      </c>
      <c r="I83" s="23">
        <f t="shared" si="5"/>
        <v>-12.37611391</v>
      </c>
      <c r="J83" s="23">
        <f t="shared" si="6"/>
        <v>153.1681955</v>
      </c>
      <c r="K83" s="23">
        <f t="shared" si="3"/>
        <v>85.17110607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21">
        <v>11.0</v>
      </c>
      <c r="B84" s="21">
        <v>12.0</v>
      </c>
      <c r="C84" s="21">
        <v>5.0</v>
      </c>
      <c r="D84" s="21">
        <v>14.0</v>
      </c>
      <c r="E84" s="21">
        <v>142.0</v>
      </c>
      <c r="F84" s="22">
        <f t="shared" si="1"/>
        <v>144.7901972</v>
      </c>
      <c r="G84" s="23">
        <f t="shared" si="2"/>
        <v>-2.790197202</v>
      </c>
      <c r="H84" s="24">
        <f t="shared" si="4"/>
        <v>-9.228819322</v>
      </c>
      <c r="I84" s="23">
        <f t="shared" si="5"/>
        <v>6.43862212</v>
      </c>
      <c r="J84" s="23">
        <f t="shared" si="6"/>
        <v>41.4558548</v>
      </c>
      <c r="K84" s="23">
        <f t="shared" si="3"/>
        <v>7.785200425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21">
        <v>12.0</v>
      </c>
      <c r="B85" s="21">
        <v>15.0</v>
      </c>
      <c r="C85" s="21">
        <v>3.0</v>
      </c>
      <c r="D85" s="21">
        <v>14.0</v>
      </c>
      <c r="E85" s="21">
        <v>151.0</v>
      </c>
      <c r="F85" s="22">
        <f t="shared" si="1"/>
        <v>155.4491033</v>
      </c>
      <c r="G85" s="23">
        <f t="shared" si="2"/>
        <v>-4.449103252</v>
      </c>
      <c r="H85" s="24">
        <f t="shared" si="4"/>
        <v>-2.790197202</v>
      </c>
      <c r="I85" s="23">
        <f t="shared" si="5"/>
        <v>-1.65890605</v>
      </c>
      <c r="J85" s="23">
        <f t="shared" si="6"/>
        <v>2.751969284</v>
      </c>
      <c r="K85" s="23">
        <f t="shared" si="3"/>
        <v>19.79451975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21">
        <v>13.0</v>
      </c>
      <c r="B86" s="21">
        <v>13.0</v>
      </c>
      <c r="C86" s="21">
        <v>2.0</v>
      </c>
      <c r="D86" s="21">
        <v>8.0</v>
      </c>
      <c r="E86" s="21">
        <v>148.0</v>
      </c>
      <c r="F86" s="22">
        <f t="shared" si="1"/>
        <v>149.6016797</v>
      </c>
      <c r="G86" s="23">
        <f t="shared" si="2"/>
        <v>-1.601679717</v>
      </c>
      <c r="H86" s="24">
        <f t="shared" si="4"/>
        <v>-4.449103252</v>
      </c>
      <c r="I86" s="23">
        <f t="shared" si="5"/>
        <v>2.847423535</v>
      </c>
      <c r="J86" s="23">
        <f t="shared" si="6"/>
        <v>8.107820788</v>
      </c>
      <c r="K86" s="23">
        <f t="shared" si="3"/>
        <v>2.565377917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21">
        <v>14.0</v>
      </c>
      <c r="B87" s="21">
        <v>16.0</v>
      </c>
      <c r="C87" s="21">
        <v>5.0</v>
      </c>
      <c r="D87" s="21">
        <v>11.0</v>
      </c>
      <c r="E87" s="21">
        <v>186.0</v>
      </c>
      <c r="F87" s="22">
        <f t="shared" si="1"/>
        <v>182.9782183</v>
      </c>
      <c r="G87" s="23">
        <f t="shared" si="2"/>
        <v>3.021781738</v>
      </c>
      <c r="H87" s="24">
        <f t="shared" si="4"/>
        <v>-1.601679717</v>
      </c>
      <c r="I87" s="23">
        <f t="shared" si="5"/>
        <v>4.623461456</v>
      </c>
      <c r="J87" s="23">
        <f t="shared" si="6"/>
        <v>21.37639583</v>
      </c>
      <c r="K87" s="23">
        <f t="shared" si="3"/>
        <v>9.131164874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21">
        <v>15.0</v>
      </c>
      <c r="B88" s="21">
        <v>17.0</v>
      </c>
      <c r="C88" s="21">
        <v>5.0</v>
      </c>
      <c r="D88" s="21">
        <v>10.0</v>
      </c>
      <c r="E88" s="21">
        <v>201.0</v>
      </c>
      <c r="F88" s="22">
        <f t="shared" si="1"/>
        <v>193.1697929</v>
      </c>
      <c r="G88" s="23">
        <f t="shared" si="2"/>
        <v>7.830207144</v>
      </c>
      <c r="H88" s="24">
        <f t="shared" si="4"/>
        <v>3.021781738</v>
      </c>
      <c r="I88" s="23">
        <f t="shared" si="5"/>
        <v>4.808425406</v>
      </c>
      <c r="J88" s="23">
        <f t="shared" si="6"/>
        <v>23.12095488</v>
      </c>
      <c r="K88" s="23">
        <f t="shared" si="3"/>
        <v>61.31214392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21">
        <v>16.0</v>
      </c>
      <c r="B89" s="21">
        <v>15.0</v>
      </c>
      <c r="C89" s="21">
        <v>4.0</v>
      </c>
      <c r="D89" s="21">
        <v>13.0</v>
      </c>
      <c r="E89" s="21">
        <v>169.0</v>
      </c>
      <c r="F89" s="22">
        <f t="shared" si="1"/>
        <v>164.1178735</v>
      </c>
      <c r="G89" s="23">
        <f t="shared" si="2"/>
        <v>4.88212654</v>
      </c>
      <c r="H89" s="24">
        <f t="shared" si="4"/>
        <v>7.830207144</v>
      </c>
      <c r="I89" s="23">
        <f t="shared" si="5"/>
        <v>-2.948080604</v>
      </c>
      <c r="J89" s="23">
        <f t="shared" si="6"/>
        <v>8.691179246</v>
      </c>
      <c r="K89" s="23">
        <f t="shared" si="3"/>
        <v>23.83515955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21">
        <v>17.0</v>
      </c>
      <c r="B90" s="21">
        <v>11.0</v>
      </c>
      <c r="C90" s="21">
        <v>5.0</v>
      </c>
      <c r="D90" s="21">
        <v>12.0</v>
      </c>
      <c r="E90" s="21">
        <v>160.0</v>
      </c>
      <c r="F90" s="22">
        <f t="shared" si="1"/>
        <v>142.3334546</v>
      </c>
      <c r="G90" s="23">
        <f t="shared" si="2"/>
        <v>17.66654544</v>
      </c>
      <c r="H90" s="24">
        <f t="shared" si="4"/>
        <v>4.88212654</v>
      </c>
      <c r="I90" s="23">
        <f t="shared" si="5"/>
        <v>12.7844189</v>
      </c>
      <c r="J90" s="23">
        <f t="shared" si="6"/>
        <v>163.4413666</v>
      </c>
      <c r="K90" s="23">
        <f t="shared" si="3"/>
        <v>312.1068277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21">
        <v>18.0</v>
      </c>
      <c r="B91" s="21">
        <v>14.0</v>
      </c>
      <c r="C91" s="21">
        <v>4.0</v>
      </c>
      <c r="D91" s="21">
        <v>12.0</v>
      </c>
      <c r="E91" s="21">
        <v>151.0</v>
      </c>
      <c r="F91" s="22">
        <f t="shared" si="1"/>
        <v>159.0828535</v>
      </c>
      <c r="G91" s="23">
        <f t="shared" si="2"/>
        <v>-8.082853501</v>
      </c>
      <c r="H91" s="24">
        <f t="shared" si="4"/>
        <v>17.66654544</v>
      </c>
      <c r="I91" s="23">
        <f t="shared" si="5"/>
        <v>-25.74939894</v>
      </c>
      <c r="J91" s="23">
        <f t="shared" si="6"/>
        <v>663.0315458</v>
      </c>
      <c r="K91" s="23">
        <f t="shared" si="3"/>
        <v>65.33252072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21">
        <v>19.0</v>
      </c>
      <c r="B92" s="21">
        <v>13.0</v>
      </c>
      <c r="C92" s="21">
        <v>2.0</v>
      </c>
      <c r="D92" s="21">
        <v>14.0</v>
      </c>
      <c r="E92" s="21">
        <v>129.0</v>
      </c>
      <c r="F92" s="22">
        <f t="shared" si="1"/>
        <v>134.1320158</v>
      </c>
      <c r="G92" s="23">
        <f t="shared" si="2"/>
        <v>-5.13201581</v>
      </c>
      <c r="H92" s="24">
        <f t="shared" si="4"/>
        <v>-8.082853501</v>
      </c>
      <c r="I92" s="23">
        <f t="shared" si="5"/>
        <v>2.950837691</v>
      </c>
      <c r="J92" s="23">
        <f t="shared" si="6"/>
        <v>8.707443081</v>
      </c>
      <c r="K92" s="23">
        <f t="shared" si="3"/>
        <v>26.33758627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21">
        <v>20.0</v>
      </c>
      <c r="B93" s="21">
        <v>15.0</v>
      </c>
      <c r="C93" s="21">
        <v>3.0</v>
      </c>
      <c r="D93" s="21">
        <v>11.0</v>
      </c>
      <c r="E93" s="21">
        <v>163.0</v>
      </c>
      <c r="F93" s="22">
        <f t="shared" si="1"/>
        <v>163.1839352</v>
      </c>
      <c r="G93" s="23">
        <f t="shared" si="2"/>
        <v>-0.1839352061</v>
      </c>
      <c r="H93" s="24">
        <f t="shared" si="4"/>
        <v>-5.13201581</v>
      </c>
      <c r="I93" s="23">
        <f t="shared" si="5"/>
        <v>4.948080604</v>
      </c>
      <c r="J93" s="23">
        <f t="shared" si="6"/>
        <v>24.48350166</v>
      </c>
      <c r="K93" s="23">
        <f t="shared" si="3"/>
        <v>0.03383216003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J94" s="25">
        <f t="shared" ref="J94:K94" si="7">SUM(J74:J93)</f>
        <v>1443.113771</v>
      </c>
      <c r="K94" s="3">
        <f t="shared" si="7"/>
        <v>988.6841851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26" t="s">
        <v>39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G97" s="26" t="s">
        <v>40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26" t="s">
        <v>41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27" t="s">
        <v>42</v>
      </c>
      <c r="B117" s="27" t="str">
        <f>"+"</f>
        <v>+</v>
      </c>
      <c r="C117" s="27" t="s">
        <v>42</v>
      </c>
      <c r="D117" s="27" t="str">
        <f>"+"</f>
        <v>+</v>
      </c>
      <c r="E117" s="27" t="s">
        <v>42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27">
        <v>4.0</v>
      </c>
      <c r="B118" s="27">
        <v>5.0</v>
      </c>
      <c r="C118" s="27">
        <v>4.0</v>
      </c>
      <c r="D118" s="27">
        <v>4.0</v>
      </c>
      <c r="E118" s="27">
        <v>3.0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5" t="s">
        <v>43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28" t="s">
        <v>44</v>
      </c>
      <c r="B120" s="29"/>
      <c r="C120" s="30">
        <v>5.0</v>
      </c>
      <c r="D120" s="3"/>
      <c r="E120" s="19" t="s">
        <v>45</v>
      </c>
      <c r="F120" s="19">
        <v>9.0</v>
      </c>
      <c r="G120" s="3"/>
      <c r="H120" s="19" t="s">
        <v>46</v>
      </c>
      <c r="I120" s="23">
        <f> 2 * F120 * F121 / (F120 + F121) +1</f>
        <v>10.9</v>
      </c>
      <c r="J120" s="3"/>
      <c r="K120" s="19" t="s">
        <v>47</v>
      </c>
      <c r="L120" s="23"/>
      <c r="M120" s="23"/>
      <c r="N120" s="20">
        <f>_xlfn.NORM.S.INV(1-0.05/2)</f>
        <v>1.959963986</v>
      </c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28" t="s">
        <v>48</v>
      </c>
      <c r="B121" s="29"/>
      <c r="C121" s="30">
        <v>20.0</v>
      </c>
      <c r="D121" s="3"/>
      <c r="E121" s="19" t="s">
        <v>49</v>
      </c>
      <c r="F121" s="19">
        <v>11.0</v>
      </c>
      <c r="G121" s="3"/>
      <c r="H121" s="19" t="s">
        <v>50</v>
      </c>
      <c r="I121" s="23">
        <f>2*F120*F121*(2*F120*F121 - F120 - F121) / ((F120+F121)^2 * (F120+F121-1))</f>
        <v>4.637368421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5" t="s">
        <v>51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>
        <f>I120-N120*SQRT(I121)</f>
        <v>6.679305762</v>
      </c>
      <c r="I125" s="3"/>
      <c r="J125" s="5" t="s">
        <v>52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>
        <f>I120+N120*SQRT(I121)</f>
        <v>15.12069424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2"/>
      <c r="B128" s="1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2"/>
      <c r="B129" s="1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2"/>
      <c r="B130" s="1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2"/>
      <c r="B131" s="1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2"/>
      <c r="B132" s="1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3"/>
      <c r="B133" s="1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2"/>
      <c r="B134" s="1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4" t="s">
        <v>53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2"/>
      <c r="B136" s="1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3" t="s">
        <v>54</v>
      </c>
      <c r="B137" s="11">
        <f>SUM(J75:J93)/SUM(K74:K93)</f>
        <v>1.459630681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3" t="s">
        <v>55</v>
      </c>
      <c r="B138" s="35">
        <v>0.998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3" t="s">
        <v>56</v>
      </c>
      <c r="B139" s="35">
        <v>1.676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2"/>
      <c r="B140" s="1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2"/>
      <c r="B141" s="1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2"/>
      <c r="B142" s="1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6" t="s">
        <v>57</v>
      </c>
      <c r="B143" s="1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2"/>
      <c r="B144" s="1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2"/>
      <c r="B145" s="1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2"/>
      <c r="B146" s="1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2"/>
      <c r="B147" s="1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</sheetData>
  <mergeCells count="7">
    <mergeCell ref="M19:O19"/>
    <mergeCell ref="M24:N24"/>
    <mergeCell ref="K55:M55"/>
    <mergeCell ref="K60:L60"/>
    <mergeCell ref="A120:B120"/>
    <mergeCell ref="A121:B121"/>
    <mergeCell ref="A135:C135"/>
  </mergeCells>
  <hyperlinks>
    <hyperlink r:id="rId1" ref="A14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32</v>
      </c>
      <c r="B1" s="37" t="s">
        <v>1</v>
      </c>
      <c r="C1" s="37" t="s">
        <v>2</v>
      </c>
      <c r="D1" s="37" t="s">
        <v>3</v>
      </c>
      <c r="E1" s="37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2">
        <v>1.0</v>
      </c>
      <c r="B2" s="38">
        <v>73.8</v>
      </c>
      <c r="C2" s="39">
        <v>5.0</v>
      </c>
      <c r="D2" s="39">
        <f t="shared" ref="D2:D42" si="1">2025-S2</f>
        <v>0</v>
      </c>
      <c r="E2" s="38">
        <v>107010.0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9">
        <v>2025.0</v>
      </c>
      <c r="T2" s="3"/>
      <c r="U2" s="3"/>
      <c r="V2" s="3"/>
      <c r="W2" s="3"/>
      <c r="X2" s="3"/>
      <c r="Y2" s="3"/>
      <c r="Z2" s="3"/>
    </row>
    <row r="3">
      <c r="A3" s="22">
        <v>2.0</v>
      </c>
      <c r="B3" s="38">
        <v>98.1</v>
      </c>
      <c r="C3" s="39">
        <v>6.0</v>
      </c>
      <c r="D3" s="39">
        <f t="shared" si="1"/>
        <v>10</v>
      </c>
      <c r="E3" s="38">
        <v>235000.0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9">
        <v>2015.0</v>
      </c>
      <c r="T3" s="3"/>
      <c r="U3" s="3"/>
      <c r="V3" s="3"/>
      <c r="W3" s="3"/>
      <c r="X3" s="3"/>
      <c r="Y3" s="3"/>
      <c r="Z3" s="3"/>
    </row>
    <row r="4">
      <c r="A4" s="22">
        <v>3.0</v>
      </c>
      <c r="B4" s="38">
        <v>76.9</v>
      </c>
      <c r="C4" s="39">
        <v>2.0</v>
      </c>
      <c r="D4" s="39">
        <f t="shared" si="1"/>
        <v>13</v>
      </c>
      <c r="E4" s="38">
        <v>169000.0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9">
        <v>2012.0</v>
      </c>
      <c r="T4" s="3"/>
      <c r="U4" s="3"/>
      <c r="V4" s="3"/>
      <c r="W4" s="3"/>
      <c r="X4" s="3"/>
      <c r="Y4" s="3"/>
      <c r="Z4" s="3"/>
    </row>
    <row r="5">
      <c r="A5" s="22">
        <v>4.0</v>
      </c>
      <c r="B5" s="39">
        <v>45.0</v>
      </c>
      <c r="C5" s="39">
        <v>4.0</v>
      </c>
      <c r="D5" s="39">
        <f t="shared" si="1"/>
        <v>63</v>
      </c>
      <c r="E5" s="38">
        <v>74000.0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9">
        <v>1962.0</v>
      </c>
      <c r="T5" s="3"/>
      <c r="U5" s="3"/>
      <c r="V5" s="3"/>
      <c r="W5" s="3"/>
      <c r="X5" s="3"/>
      <c r="Y5" s="3"/>
      <c r="Z5" s="3"/>
    </row>
    <row r="6">
      <c r="A6" s="22">
        <v>5.0</v>
      </c>
      <c r="B6" s="39">
        <v>55.6</v>
      </c>
      <c r="C6" s="39">
        <v>7.0</v>
      </c>
      <c r="D6" s="39">
        <f t="shared" si="1"/>
        <v>47</v>
      </c>
      <c r="E6" s="38">
        <v>108000.0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9">
        <v>1978.0</v>
      </c>
      <c r="T6" s="3"/>
      <c r="U6" s="3"/>
      <c r="V6" s="3"/>
      <c r="W6" s="3"/>
      <c r="X6" s="3"/>
      <c r="Y6" s="3"/>
      <c r="Z6" s="3"/>
    </row>
    <row r="7">
      <c r="A7" s="22">
        <v>6.0</v>
      </c>
      <c r="B7" s="39">
        <v>122.0</v>
      </c>
      <c r="C7" s="39">
        <v>30.0</v>
      </c>
      <c r="D7" s="39">
        <f t="shared" si="1"/>
        <v>3</v>
      </c>
      <c r="E7" s="38">
        <v>498000.0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9">
        <v>2022.0</v>
      </c>
      <c r="T7" s="3"/>
      <c r="U7" s="3"/>
      <c r="V7" s="3"/>
      <c r="W7" s="3"/>
      <c r="X7" s="3"/>
      <c r="Y7" s="3"/>
      <c r="Z7" s="3"/>
    </row>
    <row r="8">
      <c r="A8" s="22">
        <v>7.0</v>
      </c>
      <c r="B8" s="39">
        <v>48.9</v>
      </c>
      <c r="C8" s="39">
        <v>2.0</v>
      </c>
      <c r="D8" s="39">
        <f t="shared" si="1"/>
        <v>39</v>
      </c>
      <c r="E8" s="39">
        <v>99900.0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9">
        <v>1986.0</v>
      </c>
      <c r="T8" s="3"/>
      <c r="U8" s="3"/>
      <c r="V8" s="3"/>
      <c r="W8" s="3"/>
      <c r="X8" s="3"/>
      <c r="Y8" s="3"/>
      <c r="Z8" s="3"/>
    </row>
    <row r="9">
      <c r="A9" s="22">
        <v>8.0</v>
      </c>
      <c r="B9" s="39">
        <v>41.15</v>
      </c>
      <c r="C9" s="39">
        <v>10.0</v>
      </c>
      <c r="D9" s="39">
        <f t="shared" si="1"/>
        <v>0</v>
      </c>
      <c r="E9" s="39">
        <v>876415.0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9">
        <v>2025.0</v>
      </c>
      <c r="T9" s="3"/>
      <c r="U9" s="3"/>
      <c r="V9" s="3"/>
      <c r="W9" s="3"/>
      <c r="X9" s="3"/>
      <c r="Y9" s="3"/>
      <c r="Z9" s="3"/>
    </row>
    <row r="10">
      <c r="A10" s="22">
        <v>9.0</v>
      </c>
      <c r="B10" s="39">
        <v>42.1</v>
      </c>
      <c r="C10" s="39">
        <v>4.0</v>
      </c>
      <c r="D10" s="39">
        <f t="shared" si="1"/>
        <v>5</v>
      </c>
      <c r="E10" s="39">
        <v>121000.0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9">
        <v>2020.0</v>
      </c>
      <c r="T10" s="3"/>
      <c r="U10" s="3"/>
      <c r="V10" s="3"/>
      <c r="W10" s="3"/>
      <c r="X10" s="3"/>
      <c r="Y10" s="3"/>
      <c r="Z10" s="3"/>
    </row>
    <row r="11">
      <c r="A11" s="22">
        <v>10.0</v>
      </c>
      <c r="B11" s="39">
        <v>175.6</v>
      </c>
      <c r="C11" s="39">
        <v>5.0</v>
      </c>
      <c r="D11" s="39">
        <f t="shared" si="1"/>
        <v>0</v>
      </c>
      <c r="E11" s="39">
        <v>320000.0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9">
        <v>2025.0</v>
      </c>
      <c r="T11" s="3"/>
      <c r="U11" s="3"/>
      <c r="V11" s="3"/>
      <c r="W11" s="3"/>
      <c r="X11" s="3"/>
      <c r="Y11" s="3"/>
      <c r="Z11" s="3"/>
    </row>
    <row r="12">
      <c r="A12" s="22">
        <v>11.0</v>
      </c>
      <c r="B12" s="39">
        <v>56.6</v>
      </c>
      <c r="C12" s="39">
        <v>2.0</v>
      </c>
      <c r="D12" s="39">
        <f t="shared" si="1"/>
        <v>0</v>
      </c>
      <c r="E12" s="39">
        <v>97900.0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9">
        <v>2025.0</v>
      </c>
      <c r="T12" s="3"/>
      <c r="U12" s="3"/>
      <c r="V12" s="3"/>
      <c r="W12" s="3"/>
      <c r="X12" s="3"/>
      <c r="Y12" s="3"/>
      <c r="Z12" s="3"/>
    </row>
    <row r="13">
      <c r="A13" s="22">
        <v>12.0</v>
      </c>
      <c r="B13" s="39">
        <v>79.3</v>
      </c>
      <c r="C13" s="39">
        <v>5.0</v>
      </c>
      <c r="D13" s="39">
        <f t="shared" si="1"/>
        <v>14</v>
      </c>
      <c r="E13" s="39">
        <v>135000.0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9">
        <v>2011.0</v>
      </c>
      <c r="T13" s="3"/>
      <c r="U13" s="3"/>
      <c r="V13" s="3"/>
      <c r="W13" s="3"/>
      <c r="X13" s="3"/>
      <c r="Y13" s="3"/>
      <c r="Z13" s="3"/>
    </row>
    <row r="14">
      <c r="A14" s="22">
        <v>13.0</v>
      </c>
      <c r="B14" s="39">
        <v>32.2</v>
      </c>
      <c r="C14" s="39">
        <v>5.0</v>
      </c>
      <c r="D14" s="39">
        <f t="shared" si="1"/>
        <v>2</v>
      </c>
      <c r="E14" s="39">
        <v>112900.0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9">
        <v>2023.0</v>
      </c>
      <c r="T14" s="3"/>
      <c r="U14" s="3"/>
      <c r="V14" s="3"/>
      <c r="W14" s="3"/>
      <c r="X14" s="3"/>
      <c r="Y14" s="3"/>
      <c r="Z14" s="3"/>
    </row>
    <row r="15">
      <c r="A15" s="22">
        <v>14.0</v>
      </c>
      <c r="B15" s="39">
        <v>107.7</v>
      </c>
      <c r="C15" s="39">
        <v>16.0</v>
      </c>
      <c r="D15" s="39">
        <f t="shared" si="1"/>
        <v>21</v>
      </c>
      <c r="E15" s="39">
        <v>235000.0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9">
        <v>2004.0</v>
      </c>
      <c r="T15" s="3"/>
      <c r="U15" s="3"/>
      <c r="V15" s="3"/>
      <c r="W15" s="3"/>
      <c r="X15" s="3"/>
      <c r="Y15" s="3"/>
      <c r="Z15" s="3"/>
    </row>
    <row r="16">
      <c r="A16" s="22">
        <v>15.0</v>
      </c>
      <c r="B16" s="39">
        <v>65.5</v>
      </c>
      <c r="C16" s="39">
        <v>2.0</v>
      </c>
      <c r="D16" s="39">
        <f t="shared" si="1"/>
        <v>19</v>
      </c>
      <c r="E16" s="39">
        <v>218000.0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9">
        <v>2006.0</v>
      </c>
      <c r="T16" s="3"/>
      <c r="U16" s="3"/>
      <c r="V16" s="3"/>
      <c r="W16" s="3"/>
      <c r="X16" s="3"/>
      <c r="Y16" s="3"/>
      <c r="Z16" s="3"/>
    </row>
    <row r="17">
      <c r="A17" s="22">
        <v>16.0</v>
      </c>
      <c r="B17" s="39">
        <v>35.3</v>
      </c>
      <c r="C17" s="39">
        <v>2.0</v>
      </c>
      <c r="D17" s="39">
        <f t="shared" si="1"/>
        <v>21</v>
      </c>
      <c r="E17" s="39">
        <v>63000.0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9">
        <v>2004.0</v>
      </c>
      <c r="T17" s="3"/>
      <c r="U17" s="3"/>
      <c r="V17" s="3"/>
      <c r="W17" s="3"/>
      <c r="X17" s="3"/>
      <c r="Y17" s="3"/>
      <c r="Z17" s="3"/>
    </row>
    <row r="18">
      <c r="A18" s="22">
        <v>17.0</v>
      </c>
      <c r="B18" s="39">
        <v>45.8</v>
      </c>
      <c r="C18" s="39">
        <v>7.0</v>
      </c>
      <c r="D18" s="39">
        <f t="shared" si="1"/>
        <v>2</v>
      </c>
      <c r="E18" s="39">
        <v>84000.0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9">
        <v>2023.0</v>
      </c>
      <c r="T18" s="3"/>
      <c r="U18" s="3"/>
      <c r="V18" s="3"/>
      <c r="W18" s="3"/>
      <c r="X18" s="3"/>
      <c r="Y18" s="3"/>
      <c r="Z18" s="3"/>
    </row>
    <row r="19">
      <c r="A19" s="22">
        <v>18.0</v>
      </c>
      <c r="B19" s="39">
        <v>94.2</v>
      </c>
      <c r="C19" s="39">
        <v>12.0</v>
      </c>
      <c r="D19" s="39">
        <f t="shared" si="1"/>
        <v>8</v>
      </c>
      <c r="E19" s="39">
        <v>189000.0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9">
        <v>2017.0</v>
      </c>
      <c r="T19" s="3"/>
      <c r="U19" s="3"/>
      <c r="V19" s="3"/>
      <c r="W19" s="3"/>
      <c r="X19" s="3"/>
      <c r="Y19" s="3"/>
      <c r="Z19" s="3"/>
    </row>
    <row r="20">
      <c r="A20" s="22">
        <v>19.0</v>
      </c>
      <c r="B20" s="39">
        <v>58.3</v>
      </c>
      <c r="C20" s="39">
        <v>13.0</v>
      </c>
      <c r="D20" s="39">
        <f t="shared" si="1"/>
        <v>1</v>
      </c>
      <c r="E20" s="39">
        <v>129000.0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9">
        <v>2024.0</v>
      </c>
      <c r="T20" s="3"/>
      <c r="U20" s="3"/>
      <c r="V20" s="3"/>
      <c r="W20" s="3"/>
      <c r="X20" s="3"/>
      <c r="Y20" s="3"/>
      <c r="Z20" s="3"/>
    </row>
    <row r="21">
      <c r="A21" s="22">
        <v>20.0</v>
      </c>
      <c r="B21" s="39">
        <v>58.2</v>
      </c>
      <c r="C21" s="39">
        <v>8.0</v>
      </c>
      <c r="D21" s="39">
        <f t="shared" si="1"/>
        <v>2</v>
      </c>
      <c r="E21" s="39">
        <v>104900.0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9">
        <v>2023.0</v>
      </c>
      <c r="T21" s="3"/>
      <c r="U21" s="3"/>
      <c r="V21" s="3"/>
      <c r="W21" s="3"/>
      <c r="X21" s="3"/>
      <c r="Y21" s="3"/>
      <c r="Z21" s="3"/>
    </row>
    <row r="22">
      <c r="A22" s="22">
        <v>21.0</v>
      </c>
      <c r="B22" s="39">
        <v>133.1</v>
      </c>
      <c r="C22" s="39">
        <v>4.0</v>
      </c>
      <c r="D22" s="39">
        <f t="shared" si="1"/>
        <v>18</v>
      </c>
      <c r="E22" s="39">
        <v>284900.0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9">
        <v>2007.0</v>
      </c>
      <c r="T22" s="3"/>
      <c r="U22" s="3"/>
      <c r="V22" s="3"/>
      <c r="W22" s="3"/>
      <c r="X22" s="3"/>
      <c r="Y22" s="3"/>
      <c r="Z22" s="3"/>
    </row>
    <row r="23">
      <c r="A23" s="22">
        <v>22.0</v>
      </c>
      <c r="B23" s="39">
        <v>63.5</v>
      </c>
      <c r="C23" s="39">
        <v>10.0</v>
      </c>
      <c r="D23" s="39">
        <f t="shared" si="1"/>
        <v>0</v>
      </c>
      <c r="E23" s="39">
        <v>132700.0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9">
        <v>2025.0</v>
      </c>
      <c r="T23" s="3"/>
      <c r="U23" s="3"/>
      <c r="V23" s="3"/>
      <c r="W23" s="3"/>
      <c r="X23" s="3"/>
      <c r="Y23" s="3"/>
      <c r="Z23" s="3"/>
    </row>
    <row r="24">
      <c r="A24" s="22">
        <v>23.0</v>
      </c>
      <c r="B24" s="39">
        <v>55.6</v>
      </c>
      <c r="C24" s="39">
        <v>22.0</v>
      </c>
      <c r="D24" s="39">
        <f t="shared" si="1"/>
        <v>4</v>
      </c>
      <c r="E24" s="39">
        <v>144900.0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9">
        <v>2021.0</v>
      </c>
      <c r="T24" s="3"/>
      <c r="U24" s="3"/>
      <c r="V24" s="3"/>
      <c r="W24" s="3"/>
      <c r="X24" s="3"/>
      <c r="Y24" s="3"/>
      <c r="Z24" s="3"/>
    </row>
    <row r="25">
      <c r="A25" s="22">
        <v>24.0</v>
      </c>
      <c r="B25" s="39">
        <v>61.0</v>
      </c>
      <c r="C25" s="39">
        <v>7.0</v>
      </c>
      <c r="D25" s="39">
        <f t="shared" si="1"/>
        <v>17</v>
      </c>
      <c r="E25" s="39">
        <v>117500.0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9">
        <v>2008.0</v>
      </c>
      <c r="T25" s="3"/>
      <c r="U25" s="3"/>
      <c r="V25" s="3"/>
      <c r="W25" s="3"/>
      <c r="X25" s="3"/>
      <c r="Y25" s="3"/>
      <c r="Z25" s="3"/>
    </row>
    <row r="26">
      <c r="A26" s="22">
        <v>25.0</v>
      </c>
      <c r="B26" s="39">
        <v>35.2</v>
      </c>
      <c r="C26" s="39">
        <v>1.0</v>
      </c>
      <c r="D26" s="39">
        <f t="shared" si="1"/>
        <v>38</v>
      </c>
      <c r="E26" s="39">
        <v>87500.0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9">
        <v>1987.0</v>
      </c>
      <c r="T26" s="3"/>
      <c r="U26" s="3"/>
      <c r="V26" s="3"/>
      <c r="W26" s="3"/>
      <c r="X26" s="3"/>
      <c r="Y26" s="3"/>
      <c r="Z26" s="3"/>
    </row>
    <row r="27">
      <c r="A27" s="22">
        <v>26.0</v>
      </c>
      <c r="B27" s="39">
        <v>34.9</v>
      </c>
      <c r="C27" s="39">
        <v>8.0</v>
      </c>
      <c r="D27" s="39">
        <f t="shared" si="1"/>
        <v>49</v>
      </c>
      <c r="E27" s="39">
        <v>65000.0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9">
        <v>1976.0</v>
      </c>
      <c r="T27" s="3"/>
      <c r="U27" s="3"/>
      <c r="V27" s="3"/>
      <c r="W27" s="3"/>
      <c r="X27" s="3"/>
      <c r="Y27" s="3"/>
      <c r="Z27" s="3"/>
    </row>
    <row r="28">
      <c r="A28" s="22">
        <v>27.0</v>
      </c>
      <c r="B28" s="39">
        <v>32.0</v>
      </c>
      <c r="C28" s="39">
        <v>2.0</v>
      </c>
      <c r="D28" s="39">
        <f t="shared" si="1"/>
        <v>64</v>
      </c>
      <c r="E28" s="39">
        <v>63700.0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9">
        <v>1961.0</v>
      </c>
      <c r="T28" s="3"/>
      <c r="U28" s="3"/>
      <c r="V28" s="3"/>
      <c r="W28" s="3"/>
      <c r="X28" s="3"/>
      <c r="Y28" s="3"/>
      <c r="Z28" s="3"/>
    </row>
    <row r="29">
      <c r="A29" s="22">
        <v>28.0</v>
      </c>
      <c r="B29" s="39">
        <v>34.6</v>
      </c>
      <c r="C29" s="39">
        <v>9.0</v>
      </c>
      <c r="D29" s="39">
        <f t="shared" si="1"/>
        <v>2</v>
      </c>
      <c r="E29" s="39">
        <v>87500.0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9">
        <v>2023.0</v>
      </c>
      <c r="T29" s="3"/>
      <c r="U29" s="3"/>
      <c r="V29" s="3"/>
      <c r="W29" s="3"/>
      <c r="X29" s="3"/>
      <c r="Y29" s="3"/>
      <c r="Z29" s="3"/>
    </row>
    <row r="30">
      <c r="A30" s="22">
        <v>29.0</v>
      </c>
      <c r="B30" s="39">
        <v>44.9</v>
      </c>
      <c r="C30" s="39">
        <v>11.0</v>
      </c>
      <c r="D30" s="39">
        <f t="shared" si="1"/>
        <v>15</v>
      </c>
      <c r="E30" s="39">
        <v>77900.0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9">
        <v>2010.0</v>
      </c>
      <c r="T30" s="3"/>
      <c r="U30" s="3"/>
      <c r="V30" s="3"/>
      <c r="W30" s="3"/>
      <c r="X30" s="3"/>
      <c r="Y30" s="3"/>
      <c r="Z30" s="3"/>
    </row>
    <row r="31">
      <c r="A31" s="22">
        <v>30.0</v>
      </c>
      <c r="B31" s="39">
        <v>90.3</v>
      </c>
      <c r="C31" s="39">
        <v>16.0</v>
      </c>
      <c r="D31" s="39">
        <f t="shared" si="1"/>
        <v>0</v>
      </c>
      <c r="E31" s="39">
        <v>190000.0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9">
        <v>2025.0</v>
      </c>
      <c r="T31" s="3"/>
      <c r="U31" s="3"/>
      <c r="V31" s="3"/>
      <c r="W31" s="3"/>
      <c r="X31" s="3"/>
      <c r="Y31" s="3"/>
      <c r="Z31" s="3"/>
    </row>
    <row r="32">
      <c r="A32" s="22">
        <v>31.0</v>
      </c>
      <c r="B32" s="39">
        <v>26.1</v>
      </c>
      <c r="C32" s="39">
        <v>24.0</v>
      </c>
      <c r="D32" s="39">
        <f t="shared" si="1"/>
        <v>3</v>
      </c>
      <c r="E32" s="39">
        <v>87000.0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9">
        <v>2022.0</v>
      </c>
      <c r="T32" s="3"/>
      <c r="U32" s="3"/>
      <c r="V32" s="3"/>
      <c r="W32" s="3"/>
      <c r="X32" s="3"/>
      <c r="Y32" s="3"/>
      <c r="Z32" s="3"/>
    </row>
    <row r="33">
      <c r="A33" s="22">
        <v>32.0</v>
      </c>
      <c r="B33" s="39">
        <v>39.5</v>
      </c>
      <c r="C33" s="39">
        <v>18.0</v>
      </c>
      <c r="D33" s="39">
        <f t="shared" si="1"/>
        <v>4</v>
      </c>
      <c r="E33" s="39">
        <v>109000.0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9">
        <v>2021.0</v>
      </c>
      <c r="T33" s="3"/>
      <c r="U33" s="3"/>
      <c r="V33" s="3"/>
      <c r="W33" s="3"/>
      <c r="X33" s="3"/>
      <c r="Y33" s="3"/>
      <c r="Z33" s="3"/>
    </row>
    <row r="34">
      <c r="A34" s="22">
        <v>33.0</v>
      </c>
      <c r="B34" s="39">
        <v>68.4</v>
      </c>
      <c r="C34" s="39">
        <v>7.0</v>
      </c>
      <c r="D34" s="39">
        <f t="shared" si="1"/>
        <v>8</v>
      </c>
      <c r="E34" s="39">
        <v>130000.0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9">
        <v>2017.0</v>
      </c>
      <c r="T34" s="3"/>
      <c r="U34" s="3"/>
      <c r="V34" s="3"/>
      <c r="W34" s="3"/>
      <c r="X34" s="3"/>
      <c r="Y34" s="3"/>
      <c r="Z34" s="3"/>
    </row>
    <row r="35">
      <c r="A35" s="22">
        <v>34.0</v>
      </c>
      <c r="B35" s="39">
        <v>49.9</v>
      </c>
      <c r="C35" s="39">
        <v>5.0</v>
      </c>
      <c r="D35" s="39">
        <f t="shared" si="1"/>
        <v>56</v>
      </c>
      <c r="E35" s="39">
        <v>104000.0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9">
        <v>1969.0</v>
      </c>
      <c r="T35" s="3"/>
      <c r="U35" s="3"/>
      <c r="V35" s="3"/>
      <c r="W35" s="3"/>
      <c r="X35" s="3"/>
      <c r="Y35" s="3"/>
      <c r="Z35" s="3"/>
    </row>
    <row r="36">
      <c r="A36" s="22">
        <v>35.0</v>
      </c>
      <c r="B36" s="39">
        <v>57.1</v>
      </c>
      <c r="C36" s="39">
        <v>2.0</v>
      </c>
      <c r="D36" s="39">
        <f t="shared" si="1"/>
        <v>1</v>
      </c>
      <c r="E36" s="39">
        <v>135000.0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9">
        <v>2024.0</v>
      </c>
      <c r="T36" s="3"/>
      <c r="U36" s="3"/>
      <c r="V36" s="3"/>
      <c r="W36" s="3"/>
      <c r="X36" s="3"/>
      <c r="Y36" s="3"/>
      <c r="Z36" s="3"/>
    </row>
    <row r="37">
      <c r="A37" s="22">
        <v>36.0</v>
      </c>
      <c r="B37" s="39">
        <v>37.5</v>
      </c>
      <c r="C37" s="39">
        <v>24.0</v>
      </c>
      <c r="D37" s="39">
        <f t="shared" si="1"/>
        <v>0</v>
      </c>
      <c r="E37" s="39">
        <v>93000.0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9">
        <v>2025.0</v>
      </c>
      <c r="T37" s="3"/>
      <c r="U37" s="3"/>
      <c r="V37" s="3"/>
      <c r="W37" s="3"/>
      <c r="X37" s="3"/>
      <c r="Y37" s="3"/>
      <c r="Z37" s="3"/>
    </row>
    <row r="38">
      <c r="A38" s="22">
        <v>37.0</v>
      </c>
      <c r="B38" s="39">
        <v>60.0</v>
      </c>
      <c r="C38" s="39">
        <v>2.0</v>
      </c>
      <c r="D38" s="39">
        <f t="shared" si="1"/>
        <v>0</v>
      </c>
      <c r="E38" s="39">
        <v>112000.0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9">
        <v>2025.0</v>
      </c>
      <c r="T38" s="3"/>
      <c r="U38" s="3"/>
      <c r="V38" s="3"/>
      <c r="W38" s="3"/>
      <c r="X38" s="3"/>
      <c r="Y38" s="3"/>
      <c r="Z38" s="3"/>
    </row>
    <row r="39">
      <c r="A39" s="22">
        <v>38.0</v>
      </c>
      <c r="B39" s="39">
        <v>30.3</v>
      </c>
      <c r="C39" s="39">
        <v>1.0</v>
      </c>
      <c r="D39" s="39">
        <f t="shared" si="1"/>
        <v>64</v>
      </c>
      <c r="E39" s="39">
        <v>58000.0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9">
        <v>1961.0</v>
      </c>
      <c r="T39" s="3"/>
      <c r="U39" s="3"/>
      <c r="V39" s="3"/>
      <c r="W39" s="3"/>
      <c r="X39" s="3"/>
      <c r="Y39" s="3"/>
      <c r="Z39" s="3"/>
    </row>
    <row r="40">
      <c r="A40" s="22">
        <v>39.0</v>
      </c>
      <c r="B40" s="39">
        <v>33.3</v>
      </c>
      <c r="C40" s="39">
        <v>5.0</v>
      </c>
      <c r="D40" s="39">
        <f t="shared" si="1"/>
        <v>51</v>
      </c>
      <c r="E40" s="39">
        <v>64900.0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9">
        <v>1974.0</v>
      </c>
      <c r="T40" s="3"/>
      <c r="U40" s="3"/>
      <c r="V40" s="3"/>
      <c r="W40" s="3"/>
      <c r="X40" s="3"/>
      <c r="Y40" s="3"/>
      <c r="Z40" s="3"/>
    </row>
    <row r="41">
      <c r="A41" s="22">
        <v>40.0</v>
      </c>
      <c r="B41" s="39">
        <v>58.9</v>
      </c>
      <c r="C41" s="39">
        <v>10.0</v>
      </c>
      <c r="D41" s="39">
        <f t="shared" si="1"/>
        <v>3</v>
      </c>
      <c r="E41" s="39">
        <v>115000.0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9">
        <v>2022.0</v>
      </c>
      <c r="T41" s="3"/>
      <c r="U41" s="3"/>
      <c r="V41" s="3"/>
      <c r="W41" s="3"/>
      <c r="X41" s="3"/>
      <c r="Y41" s="3"/>
      <c r="Z41" s="3"/>
    </row>
    <row r="42">
      <c r="A42" s="22">
        <v>41.0</v>
      </c>
      <c r="B42" s="39">
        <v>49.8</v>
      </c>
      <c r="C42" s="39">
        <v>2.0</v>
      </c>
      <c r="D42" s="39">
        <f t="shared" si="1"/>
        <v>35</v>
      </c>
      <c r="E42" s="39">
        <v>101000.0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9">
        <v>1990.0</v>
      </c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9" t="s">
        <v>58</v>
      </c>
      <c r="B46" s="10"/>
      <c r="C46" s="3"/>
      <c r="D46" s="3"/>
      <c r="E46" s="3"/>
      <c r="F46" s="3"/>
      <c r="G46" s="3"/>
      <c r="H46" s="3"/>
      <c r="I46" s="3"/>
      <c r="J46" s="1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8</v>
      </c>
      <c r="B47" s="11">
        <v>0.4709236382866481</v>
      </c>
      <c r="C47" s="3"/>
      <c r="D47" s="3"/>
      <c r="E47" s="3"/>
      <c r="F47" s="3"/>
      <c r="G47" s="3"/>
      <c r="H47" s="3"/>
      <c r="I47" s="3"/>
      <c r="J47" s="1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9</v>
      </c>
      <c r="B48" s="11">
        <v>0.22176907309713378</v>
      </c>
      <c r="C48" s="3"/>
      <c r="D48" s="3"/>
      <c r="E48" s="3"/>
      <c r="F48" s="3"/>
      <c r="G48" s="3"/>
      <c r="H48" s="3"/>
      <c r="I48" s="3"/>
      <c r="J48" s="1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10</v>
      </c>
      <c r="B49" s="11">
        <v>0.15866926821311755</v>
      </c>
      <c r="C49" s="3"/>
      <c r="D49" s="3"/>
      <c r="E49" s="3"/>
      <c r="F49" s="3"/>
      <c r="G49" s="3"/>
      <c r="H49" s="3"/>
      <c r="I49" s="3"/>
      <c r="J49" s="1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11</v>
      </c>
      <c r="B50" s="11">
        <v>130567.16181937551</v>
      </c>
      <c r="C50" s="3"/>
      <c r="D50" s="3"/>
      <c r="E50" s="3"/>
      <c r="F50" s="3"/>
      <c r="G50" s="3"/>
      <c r="H50" s="3"/>
      <c r="I50" s="3"/>
      <c r="J50" s="1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" t="s">
        <v>12</v>
      </c>
      <c r="B51" s="13">
        <v>41.0</v>
      </c>
      <c r="C51" s="3"/>
      <c r="D51" s="3"/>
      <c r="E51" s="3"/>
      <c r="F51" s="3"/>
      <c r="G51" s="3"/>
      <c r="H51" s="3"/>
      <c r="I51" s="3"/>
      <c r="J51" s="1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14"/>
      <c r="K52" s="14"/>
      <c r="L52" s="14"/>
      <c r="M52" s="14"/>
      <c r="N52" s="14"/>
      <c r="O52" s="14"/>
      <c r="P52" s="14"/>
      <c r="Q52" s="14"/>
      <c r="R52" s="14"/>
      <c r="S52" s="3"/>
      <c r="T52" s="3"/>
      <c r="U52" s="3"/>
      <c r="V52" s="3"/>
      <c r="W52" s="3"/>
      <c r="X52" s="3"/>
      <c r="Y52" s="3"/>
      <c r="Z52" s="3"/>
    </row>
    <row r="53">
      <c r="A53" s="3" t="s">
        <v>13</v>
      </c>
      <c r="B53" s="3"/>
      <c r="C53" s="3"/>
      <c r="D53" s="3"/>
      <c r="E53" s="3"/>
      <c r="F53" s="3"/>
      <c r="G53" s="3"/>
      <c r="H53" s="3"/>
      <c r="I53" s="3"/>
      <c r="J53" s="14"/>
      <c r="K53" s="14"/>
      <c r="L53" s="14"/>
      <c r="M53" s="14"/>
      <c r="N53" s="14"/>
      <c r="O53" s="14"/>
      <c r="P53" s="14"/>
      <c r="Q53" s="14"/>
      <c r="R53" s="14"/>
      <c r="S53" s="3"/>
      <c r="T53" s="3"/>
      <c r="U53" s="3"/>
      <c r="V53" s="3"/>
      <c r="W53" s="3"/>
      <c r="X53" s="3"/>
      <c r="Y53" s="3"/>
      <c r="Z53" s="3"/>
    </row>
    <row r="54">
      <c r="A54" s="10"/>
      <c r="B54" s="9" t="s">
        <v>14</v>
      </c>
      <c r="C54" s="9" t="s">
        <v>15</v>
      </c>
      <c r="D54" s="9" t="s">
        <v>16</v>
      </c>
      <c r="E54" s="9" t="s">
        <v>17</v>
      </c>
      <c r="F54" s="9" t="s">
        <v>18</v>
      </c>
      <c r="G54" s="3"/>
      <c r="H54" s="3"/>
      <c r="I54" s="3"/>
      <c r="J54" s="14"/>
      <c r="K54" s="14"/>
      <c r="L54" s="14"/>
      <c r="M54" s="14"/>
      <c r="N54" s="14"/>
      <c r="O54" s="14"/>
      <c r="P54" s="14"/>
      <c r="Q54" s="14"/>
      <c r="R54" s="14"/>
      <c r="S54" s="3"/>
      <c r="T54" s="3"/>
      <c r="U54" s="3"/>
      <c r="V54" s="3"/>
      <c r="W54" s="3"/>
      <c r="X54" s="3"/>
      <c r="Y54" s="3"/>
      <c r="Z54" s="3"/>
    </row>
    <row r="55">
      <c r="A55" s="3" t="s">
        <v>19</v>
      </c>
      <c r="B55" s="11">
        <v>3.0</v>
      </c>
      <c r="C55" s="11">
        <v>1.7974720555304553E11</v>
      </c>
      <c r="D55" s="11">
        <v>5.991573518434851E10</v>
      </c>
      <c r="E55" s="11">
        <v>3.5145762099386473</v>
      </c>
      <c r="F55" s="11">
        <v>0.024436696241720735</v>
      </c>
      <c r="G55" s="3"/>
      <c r="H55" s="3"/>
      <c r="I55" s="3"/>
      <c r="J55" s="14"/>
      <c r="K55" s="40"/>
      <c r="N55" s="14"/>
      <c r="O55" s="14"/>
      <c r="P55" s="14"/>
      <c r="Q55" s="14"/>
      <c r="R55" s="14"/>
      <c r="S55" s="3"/>
      <c r="T55" s="3"/>
      <c r="U55" s="3"/>
      <c r="V55" s="3"/>
      <c r="W55" s="3"/>
      <c r="X55" s="3"/>
      <c r="Y55" s="3"/>
      <c r="Z55" s="3"/>
    </row>
    <row r="56">
      <c r="A56" s="3" t="s">
        <v>20</v>
      </c>
      <c r="B56" s="11">
        <v>37.0</v>
      </c>
      <c r="C56" s="11">
        <v>6.307679985859786E11</v>
      </c>
      <c r="D56" s="11">
        <v>1.704778374556699E10</v>
      </c>
      <c r="E56" s="3"/>
      <c r="F56" s="3"/>
      <c r="G56" s="3"/>
      <c r="H56" s="3"/>
      <c r="I56" s="3"/>
      <c r="J56" s="14"/>
      <c r="K56" s="14"/>
      <c r="L56" s="14"/>
      <c r="M56" s="14"/>
      <c r="N56" s="14"/>
      <c r="O56" s="14"/>
      <c r="P56" s="14"/>
      <c r="Q56" s="14"/>
      <c r="R56" s="14"/>
      <c r="S56" s="3"/>
      <c r="T56" s="3"/>
      <c r="U56" s="3"/>
      <c r="V56" s="3"/>
      <c r="W56" s="3"/>
      <c r="X56" s="3"/>
      <c r="Y56" s="3"/>
      <c r="Z56" s="3"/>
    </row>
    <row r="57">
      <c r="A57" s="12" t="s">
        <v>21</v>
      </c>
      <c r="B57" s="13">
        <v>40.0</v>
      </c>
      <c r="C57" s="13">
        <v>8.105152041390242E11</v>
      </c>
      <c r="D57" s="12"/>
      <c r="E57" s="12"/>
      <c r="F57" s="12"/>
      <c r="G57" s="3"/>
      <c r="H57" s="3"/>
      <c r="I57" s="3"/>
      <c r="J57" s="14"/>
      <c r="K57" s="14"/>
      <c r="L57" s="16"/>
      <c r="M57" s="14"/>
      <c r="N57" s="16"/>
      <c r="O57" s="14"/>
      <c r="P57" s="14"/>
      <c r="Q57" s="14"/>
      <c r="R57" s="14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14"/>
      <c r="K58" s="14"/>
      <c r="L58" s="16"/>
      <c r="M58" s="14"/>
      <c r="N58" s="16"/>
      <c r="O58" s="14"/>
      <c r="P58" s="14"/>
      <c r="Q58" s="14"/>
      <c r="R58" s="14"/>
      <c r="S58" s="3"/>
      <c r="T58" s="3"/>
      <c r="U58" s="3"/>
      <c r="V58" s="3"/>
      <c r="W58" s="3"/>
      <c r="X58" s="3"/>
      <c r="Y58" s="3"/>
      <c r="Z58" s="3"/>
    </row>
    <row r="59">
      <c r="A59" s="10"/>
      <c r="B59" s="9" t="s">
        <v>22</v>
      </c>
      <c r="C59" s="9" t="s">
        <v>11</v>
      </c>
      <c r="D59" s="9" t="s">
        <v>23</v>
      </c>
      <c r="E59" s="9" t="s">
        <v>24</v>
      </c>
      <c r="F59" s="9" t="s">
        <v>25</v>
      </c>
      <c r="G59" s="9" t="s">
        <v>26</v>
      </c>
      <c r="H59" s="9" t="s">
        <v>25</v>
      </c>
      <c r="I59" s="9" t="s">
        <v>26</v>
      </c>
      <c r="J59" s="14"/>
      <c r="K59" s="14"/>
      <c r="L59" s="16"/>
      <c r="M59" s="14"/>
      <c r="N59" s="16"/>
      <c r="O59" s="14"/>
      <c r="P59" s="14"/>
      <c r="Q59" s="14"/>
      <c r="R59" s="14"/>
      <c r="S59" s="3"/>
      <c r="T59" s="3"/>
      <c r="U59" s="3"/>
      <c r="V59" s="3"/>
      <c r="W59" s="3"/>
      <c r="X59" s="3"/>
      <c r="Y59" s="3"/>
      <c r="Z59" s="3"/>
    </row>
    <row r="60">
      <c r="A60" s="3" t="s">
        <v>27</v>
      </c>
      <c r="B60" s="11">
        <v>45312.75470022019</v>
      </c>
      <c r="C60" s="11">
        <v>64168.146796101646</v>
      </c>
      <c r="D60" s="11">
        <v>0.7061565116443886</v>
      </c>
      <c r="E60" s="11">
        <v>0.48451388092365366</v>
      </c>
      <c r="F60" s="11">
        <v>-84704.25970144256</v>
      </c>
      <c r="G60" s="11">
        <v>175329.76910188294</v>
      </c>
      <c r="H60" s="11">
        <v>-84704.25970144256</v>
      </c>
      <c r="I60" s="11">
        <v>175329.76910188294</v>
      </c>
      <c r="J60" s="14"/>
      <c r="K60" s="40"/>
      <c r="L60" s="40"/>
      <c r="M60" s="14"/>
      <c r="N60" s="14"/>
      <c r="O60" s="14"/>
      <c r="P60" s="14"/>
      <c r="Q60" s="14"/>
      <c r="R60" s="14"/>
      <c r="S60" s="3"/>
      <c r="T60" s="3"/>
      <c r="U60" s="3"/>
      <c r="V60" s="3"/>
      <c r="W60" s="3"/>
      <c r="X60" s="3"/>
      <c r="Y60" s="3"/>
      <c r="Z60" s="3"/>
    </row>
    <row r="61">
      <c r="A61" s="12" t="s">
        <v>1</v>
      </c>
      <c r="B61" s="13">
        <v>1604.2741068057308</v>
      </c>
      <c r="C61" s="13">
        <v>696.4626147356844</v>
      </c>
      <c r="D61" s="13">
        <v>2.3034604770775404</v>
      </c>
      <c r="E61" s="13">
        <v>0.026972850241539507</v>
      </c>
      <c r="F61" s="13">
        <v>193.10681693457627</v>
      </c>
      <c r="G61" s="13">
        <v>3015.4413966768852</v>
      </c>
      <c r="H61" s="13">
        <v>193.10681693457627</v>
      </c>
      <c r="I61" s="13">
        <v>3015.4413966768852</v>
      </c>
      <c r="J61" s="14"/>
      <c r="K61" s="14"/>
      <c r="L61" s="14"/>
      <c r="M61" s="14"/>
      <c r="N61" s="14"/>
      <c r="O61" s="14"/>
      <c r="P61" s="14"/>
      <c r="Q61" s="14"/>
      <c r="R61" s="14"/>
      <c r="S61" s="3"/>
      <c r="T61" s="3"/>
      <c r="U61" s="3"/>
      <c r="V61" s="3"/>
      <c r="W61" s="3"/>
      <c r="X61" s="3"/>
      <c r="Y61" s="3"/>
      <c r="Z61" s="3"/>
    </row>
    <row r="62">
      <c r="A62" s="3" t="s">
        <v>2</v>
      </c>
      <c r="B62" s="11">
        <v>3177.317321328853</v>
      </c>
      <c r="C62" s="11">
        <v>3172.16413502569</v>
      </c>
      <c r="D62" s="11">
        <v>1.0016245017861036</v>
      </c>
      <c r="E62" s="11">
        <v>0.3230308504959925</v>
      </c>
      <c r="F62" s="11">
        <v>-3250.0976909608507</v>
      </c>
      <c r="G62" s="11">
        <v>9604.732333618556</v>
      </c>
      <c r="H62" s="11">
        <v>-3250.0976909608507</v>
      </c>
      <c r="I62" s="11">
        <v>9604.732333618556</v>
      </c>
      <c r="J62" s="14"/>
      <c r="K62" s="14"/>
      <c r="L62" s="14"/>
      <c r="M62" s="14"/>
      <c r="N62" s="14"/>
      <c r="O62" s="14"/>
      <c r="P62" s="14"/>
      <c r="Q62" s="14"/>
      <c r="R62" s="14"/>
      <c r="S62" s="3"/>
      <c r="T62" s="3"/>
      <c r="U62" s="3"/>
      <c r="V62" s="3"/>
      <c r="W62" s="3"/>
      <c r="X62" s="3"/>
      <c r="Y62" s="3"/>
      <c r="Z62" s="3"/>
    </row>
    <row r="63">
      <c r="A63" s="12" t="s">
        <v>3</v>
      </c>
      <c r="B63" s="13">
        <v>-875.8033917117555</v>
      </c>
      <c r="C63" s="13">
        <v>1122.2824016173672</v>
      </c>
      <c r="D63" s="13">
        <v>-0.7803770160251994</v>
      </c>
      <c r="E63" s="13">
        <v>0.4401331073393758</v>
      </c>
      <c r="F63" s="13">
        <v>-3149.7635177143748</v>
      </c>
      <c r="G63" s="13">
        <v>1398.1567342908638</v>
      </c>
      <c r="H63" s="13">
        <v>-3149.7635177143748</v>
      </c>
      <c r="I63" s="13">
        <v>1398.1567342908638</v>
      </c>
      <c r="J63" s="14"/>
      <c r="K63" s="14"/>
      <c r="L63" s="16"/>
      <c r="M63" s="16"/>
      <c r="N63" s="16"/>
      <c r="O63" s="16"/>
      <c r="P63" s="16"/>
      <c r="Q63" s="16"/>
      <c r="R63" s="14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14"/>
      <c r="K64" s="14"/>
      <c r="L64" s="16"/>
      <c r="M64" s="16"/>
      <c r="N64" s="16"/>
      <c r="O64" s="16"/>
      <c r="P64" s="16"/>
      <c r="Q64" s="16"/>
      <c r="R64" s="14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14"/>
      <c r="K65" s="14"/>
      <c r="L65" s="16"/>
      <c r="M65" s="16"/>
      <c r="N65" s="16"/>
      <c r="O65" s="16"/>
      <c r="P65" s="16"/>
      <c r="Q65" s="16"/>
      <c r="R65" s="14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14"/>
      <c r="K66" s="14"/>
      <c r="L66" s="14"/>
      <c r="M66" s="14"/>
      <c r="N66" s="14"/>
      <c r="O66" s="14"/>
      <c r="P66" s="14"/>
      <c r="Q66" s="14"/>
      <c r="R66" s="14"/>
      <c r="S66" s="3"/>
      <c r="T66" s="3"/>
      <c r="U66" s="3"/>
      <c r="V66" s="3"/>
      <c r="W66" s="3"/>
      <c r="X66" s="3"/>
      <c r="Y66" s="3"/>
      <c r="Z66" s="3"/>
    </row>
    <row r="67">
      <c r="A67" s="9" t="s">
        <v>28</v>
      </c>
      <c r="B67" s="10"/>
      <c r="C67" s="10"/>
      <c r="D67" s="3"/>
      <c r="E67" s="3"/>
      <c r="F67" s="3"/>
      <c r="G67" s="3"/>
      <c r="H67" s="3"/>
      <c r="I67" s="3"/>
      <c r="J67" s="14"/>
      <c r="K67" s="14"/>
      <c r="L67" s="14"/>
      <c r="M67" s="14"/>
      <c r="N67" s="14"/>
      <c r="O67" s="14"/>
      <c r="P67" s="14"/>
      <c r="Q67" s="14"/>
      <c r="R67" s="14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14"/>
      <c r="K68" s="14"/>
      <c r="L68" s="16"/>
      <c r="M68" s="14"/>
      <c r="N68" s="14"/>
      <c r="O68" s="14"/>
      <c r="P68" s="14"/>
      <c r="Q68" s="14"/>
      <c r="R68" s="14"/>
      <c r="S68" s="3"/>
      <c r="T68" s="3"/>
      <c r="U68" s="3"/>
      <c r="V68" s="3"/>
      <c r="W68" s="3"/>
      <c r="X68" s="3"/>
      <c r="Y68" s="3"/>
      <c r="Z68" s="3"/>
    </row>
    <row r="69">
      <c r="A69" s="9" t="s">
        <v>29</v>
      </c>
      <c r="B69" s="9" t="s">
        <v>30</v>
      </c>
      <c r="C69" s="9" t="s">
        <v>31</v>
      </c>
      <c r="D69" s="3"/>
      <c r="E69" s="3"/>
      <c r="F69" s="3"/>
      <c r="G69" s="3"/>
      <c r="H69" s="3"/>
      <c r="I69" s="3"/>
      <c r="J69" s="14"/>
      <c r="K69" s="14"/>
      <c r="L69" s="14"/>
      <c r="M69" s="14"/>
      <c r="N69" s="14"/>
      <c r="O69" s="14"/>
      <c r="P69" s="14"/>
      <c r="Q69" s="14"/>
      <c r="R69" s="14"/>
      <c r="S69" s="3"/>
      <c r="T69" s="3"/>
      <c r="U69" s="3"/>
      <c r="V69" s="3"/>
      <c r="W69" s="3"/>
      <c r="X69" s="3"/>
      <c r="Y69" s="3"/>
      <c r="Z69" s="3"/>
    </row>
    <row r="70">
      <c r="A70" s="11">
        <v>1.0</v>
      </c>
      <c r="B70" s="11">
        <v>179594.77038912737</v>
      </c>
      <c r="C70" s="11">
        <v>-72584.77038912737</v>
      </c>
      <c r="D70" s="3"/>
      <c r="E70" s="3"/>
      <c r="F70" s="3"/>
      <c r="G70" s="3"/>
      <c r="H70" s="3"/>
      <c r="I70" s="3"/>
      <c r="J70" s="14"/>
      <c r="K70" s="14"/>
      <c r="L70" s="14"/>
      <c r="M70" s="14"/>
      <c r="N70" s="14"/>
      <c r="O70" s="14"/>
      <c r="P70" s="14"/>
      <c r="Q70" s="14"/>
      <c r="R70" s="14"/>
      <c r="S70" s="3"/>
      <c r="T70" s="3"/>
      <c r="U70" s="3"/>
      <c r="V70" s="3"/>
      <c r="W70" s="3"/>
      <c r="X70" s="3"/>
      <c r="Y70" s="3"/>
      <c r="Z70" s="3"/>
    </row>
    <row r="71">
      <c r="A71" s="11">
        <v>2.0</v>
      </c>
      <c r="B71" s="11">
        <v>212997.91458871795</v>
      </c>
      <c r="C71" s="11">
        <v>22002.085411282053</v>
      </c>
      <c r="D71" s="3"/>
      <c r="E71" s="3"/>
      <c r="F71" s="3"/>
      <c r="G71" s="3"/>
      <c r="H71" s="3"/>
      <c r="I71" s="3"/>
      <c r="J71" s="14"/>
      <c r="K71" s="14"/>
      <c r="L71" s="16"/>
      <c r="M71" s="14"/>
      <c r="N71" s="16"/>
      <c r="O71" s="14"/>
      <c r="P71" s="14"/>
      <c r="Q71" s="14"/>
      <c r="R71" s="14"/>
      <c r="S71" s="3"/>
      <c r="T71" s="3"/>
      <c r="U71" s="3"/>
      <c r="V71" s="3"/>
      <c r="W71" s="3"/>
      <c r="X71" s="3"/>
      <c r="Y71" s="3"/>
      <c r="Z71" s="3"/>
    </row>
    <row r="72">
      <c r="A72" s="11">
        <v>3.0</v>
      </c>
      <c r="B72" s="11">
        <v>163650.62406398577</v>
      </c>
      <c r="C72" s="11">
        <v>5349.3759360142285</v>
      </c>
      <c r="D72" s="3"/>
      <c r="E72" s="3"/>
      <c r="F72" s="3"/>
      <c r="G72" s="3"/>
      <c r="H72" s="3"/>
      <c r="I72" s="3"/>
      <c r="J72" s="3"/>
      <c r="K72" s="14"/>
      <c r="L72" s="16"/>
      <c r="M72" s="14"/>
      <c r="N72" s="16"/>
      <c r="O72" s="14"/>
      <c r="P72" s="14"/>
      <c r="Q72" s="14"/>
      <c r="R72" s="14"/>
      <c r="S72" s="3"/>
      <c r="T72" s="3"/>
      <c r="U72" s="3"/>
      <c r="V72" s="3"/>
      <c r="W72" s="3"/>
      <c r="X72" s="3"/>
      <c r="Y72" s="3"/>
      <c r="Z72" s="3"/>
    </row>
    <row r="73">
      <c r="A73" s="11">
        <v>4.0</v>
      </c>
      <c r="B73" s="11">
        <v>75038.7451139529</v>
      </c>
      <c r="C73" s="11">
        <v>-1038.7451139529003</v>
      </c>
      <c r="D73" s="3"/>
      <c r="E73" s="3"/>
      <c r="F73" s="3"/>
      <c r="G73" s="3"/>
      <c r="H73" s="3"/>
      <c r="I73" s="3"/>
      <c r="J73" s="3"/>
      <c r="K73" s="14"/>
      <c r="L73" s="16"/>
      <c r="M73" s="14"/>
      <c r="N73" s="16"/>
      <c r="O73" s="14"/>
      <c r="P73" s="14"/>
      <c r="Q73" s="14"/>
      <c r="R73" s="14"/>
      <c r="S73" s="3"/>
      <c r="T73" s="3"/>
      <c r="U73" s="3"/>
      <c r="V73" s="3"/>
      <c r="W73" s="3"/>
      <c r="X73" s="3"/>
      <c r="Y73" s="3"/>
      <c r="Z73" s="3"/>
    </row>
    <row r="74">
      <c r="A74" s="11">
        <v>5.0</v>
      </c>
      <c r="B74" s="11">
        <v>115588.8568774683</v>
      </c>
      <c r="C74" s="11">
        <v>-7588.8568774682935</v>
      </c>
      <c r="D74" s="3"/>
      <c r="E74" s="3"/>
      <c r="F74" s="3"/>
      <c r="G74" s="3"/>
      <c r="H74" s="3"/>
      <c r="I74" s="3"/>
      <c r="J74" s="3"/>
      <c r="K74" s="14"/>
      <c r="L74" s="16"/>
      <c r="M74" s="14"/>
      <c r="N74" s="14"/>
      <c r="O74" s="14"/>
      <c r="P74" s="14"/>
      <c r="Q74" s="14"/>
      <c r="R74" s="14"/>
      <c r="S74" s="3"/>
      <c r="T74" s="3"/>
      <c r="U74" s="3"/>
      <c r="V74" s="3"/>
      <c r="W74" s="3"/>
      <c r="X74" s="3"/>
      <c r="Y74" s="3"/>
      <c r="Z74" s="3"/>
    </row>
    <row r="75">
      <c r="A75" s="11">
        <v>6.0</v>
      </c>
      <c r="B75" s="11">
        <v>333726.3051952497</v>
      </c>
      <c r="C75" s="11">
        <v>164273.69480475032</v>
      </c>
      <c r="D75" s="3"/>
      <c r="E75" s="3"/>
      <c r="F75" s="3"/>
      <c r="G75" s="3"/>
      <c r="H75" s="3"/>
      <c r="I75" s="3"/>
      <c r="J75" s="3"/>
      <c r="K75" s="14"/>
      <c r="L75" s="14"/>
      <c r="M75" s="14"/>
      <c r="N75" s="14"/>
      <c r="O75" s="14"/>
      <c r="P75" s="14"/>
      <c r="Q75" s="14"/>
      <c r="R75" s="14"/>
      <c r="S75" s="3"/>
      <c r="T75" s="3"/>
      <c r="U75" s="3"/>
      <c r="V75" s="3"/>
      <c r="W75" s="3"/>
      <c r="X75" s="3"/>
      <c r="Y75" s="3"/>
      <c r="Z75" s="3"/>
    </row>
    <row r="76">
      <c r="A76" s="11">
        <v>7.0</v>
      </c>
      <c r="B76" s="11">
        <v>95960.06088891967</v>
      </c>
      <c r="C76" s="11">
        <v>3939.9391110803263</v>
      </c>
      <c r="D76" s="3"/>
      <c r="E76" s="3"/>
      <c r="F76" s="3"/>
      <c r="G76" s="3"/>
      <c r="H76" s="3"/>
      <c r="I76" s="3"/>
      <c r="J76" s="3"/>
      <c r="K76" s="14"/>
      <c r="L76" s="14"/>
      <c r="M76" s="14"/>
      <c r="N76" s="14"/>
      <c r="O76" s="14"/>
      <c r="P76" s="14"/>
      <c r="Q76" s="14"/>
      <c r="R76" s="14"/>
      <c r="S76" s="3"/>
      <c r="T76" s="3"/>
      <c r="U76" s="3"/>
      <c r="V76" s="3"/>
      <c r="W76" s="3"/>
      <c r="X76" s="3"/>
      <c r="Y76" s="3"/>
      <c r="Z76" s="3"/>
    </row>
    <row r="77">
      <c r="A77" s="11">
        <v>8.0</v>
      </c>
      <c r="B77" s="11">
        <v>143101.80740856455</v>
      </c>
      <c r="C77" s="11">
        <v>733313.1925914355</v>
      </c>
      <c r="D77" s="3"/>
      <c r="E77" s="3"/>
      <c r="F77" s="3"/>
      <c r="G77" s="3"/>
      <c r="H77" s="3"/>
      <c r="I77" s="3"/>
      <c r="J77" s="3"/>
      <c r="K77" s="14"/>
      <c r="L77" s="14"/>
      <c r="M77" s="14"/>
      <c r="N77" s="14"/>
      <c r="O77" s="14"/>
      <c r="P77" s="14"/>
      <c r="Q77" s="14"/>
      <c r="R77" s="14"/>
      <c r="S77" s="3"/>
      <c r="T77" s="3"/>
      <c r="U77" s="3"/>
      <c r="V77" s="3"/>
      <c r="W77" s="3"/>
      <c r="X77" s="3"/>
      <c r="Y77" s="3"/>
      <c r="Z77" s="3"/>
    </row>
    <row r="78">
      <c r="A78" s="11">
        <v>9.0</v>
      </c>
      <c r="B78" s="11">
        <v>121182.9469234981</v>
      </c>
      <c r="C78" s="11">
        <v>-182.94692349809338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1">
        <v>10.0</v>
      </c>
      <c r="B79" s="11">
        <v>342909.8744619508</v>
      </c>
      <c r="C79" s="11">
        <v>-22909.874461950792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1">
        <v>11.0</v>
      </c>
      <c r="B80" s="11">
        <v>142469.30378808227</v>
      </c>
      <c r="C80" s="11">
        <v>-44569.30378808227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1">
        <v>12.0</v>
      </c>
      <c r="B81" s="11">
        <v>176157.03049259432</v>
      </c>
      <c r="C81" s="11">
        <v>-41157.03049259432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1">
        <v>13.0</v>
      </c>
      <c r="B82" s="11">
        <v>111105.36076258548</v>
      </c>
      <c r="C82" s="11">
        <v>1794.6392374145216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1">
        <v>14.0</v>
      </c>
      <c r="B83" s="11">
        <v>250538.2819185122</v>
      </c>
      <c r="C83" s="11">
        <v>-15538.281918512192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1">
        <v>15.0</v>
      </c>
      <c r="B84" s="11">
        <v>140107.0788961299</v>
      </c>
      <c r="C84" s="11">
        <v>77892.92110387009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1">
        <v>16.0</v>
      </c>
      <c r="B85" s="11">
        <v>89906.3940871733</v>
      </c>
      <c r="C85" s="11">
        <v>-26906.394087173307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1">
        <v>17.0</v>
      </c>
      <c r="B86" s="11">
        <v>139278.1232578011</v>
      </c>
      <c r="C86" s="11">
        <v>-55278.12325780111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1">
        <v>18.0</v>
      </c>
      <c r="B87" s="11">
        <v>227556.75628357218</v>
      </c>
      <c r="C87" s="11">
        <v>-38556.75628357218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1">
        <v>19.0</v>
      </c>
      <c r="B88" s="11">
        <v>179271.2569125576</v>
      </c>
      <c r="C88" s="11">
        <v>-50271.25691255761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1">
        <v>20.0</v>
      </c>
      <c r="B89" s="11">
        <v>162348.43950352102</v>
      </c>
      <c r="C89" s="11">
        <v>-57448.43950352102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1">
        <v>21.0</v>
      </c>
      <c r="B90" s="11">
        <v>255786.44655056673</v>
      </c>
      <c r="C90" s="11">
        <v>29113.553449433268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1">
        <v>22.0</v>
      </c>
      <c r="B91" s="11">
        <v>178957.33369567263</v>
      </c>
      <c r="C91" s="11">
        <v>-46257.33369567263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1">
        <v>23.0</v>
      </c>
      <c r="B92" s="11">
        <v>200908.16254100658</v>
      </c>
      <c r="C92" s="11">
        <v>-56008.162541006575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1">
        <v>24.0</v>
      </c>
      <c r="B93" s="11">
        <v>150526.0388055719</v>
      </c>
      <c r="C93" s="11">
        <v>-33026.03880557191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1">
        <v>25.0</v>
      </c>
      <c r="B94" s="11">
        <v>71679.99169606407</v>
      </c>
      <c r="C94" s="11">
        <v>15820.00830393593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1">
        <v>26.0</v>
      </c>
      <c r="B95" s="11">
        <v>83806.09340449501</v>
      </c>
      <c r="C95" s="11">
        <v>-18806.09340449501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1">
        <v>27.0</v>
      </c>
      <c r="B96" s="11">
        <v>46952.74369110893</v>
      </c>
      <c r="C96" s="11">
        <v>16747.25630889107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1">
        <v>28.0</v>
      </c>
      <c r="B97" s="11">
        <v>127664.88790423464</v>
      </c>
      <c r="C97" s="11">
        <v>-40164.88790423464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1">
        <v>29.0</v>
      </c>
      <c r="B98" s="11">
        <v>139158.10175473854</v>
      </c>
      <c r="C98" s="11">
        <v>-61258.10175473854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1">
        <v>30.0</v>
      </c>
      <c r="B99" s="11">
        <v>241015.78368603933</v>
      </c>
      <c r="C99" s="11">
        <v>-51015.78368603933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1">
        <v>31.0</v>
      </c>
      <c r="B100" s="11">
        <v>160812.51442460695</v>
      </c>
      <c r="C100" s="11">
        <v>-73812.51442460695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>
        <v>32.0</v>
      </c>
      <c r="B101" s="11">
        <v>162370.08013611886</v>
      </c>
      <c r="C101" s="11">
        <v>-53370.080136118864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>
        <v>33.0</v>
      </c>
      <c r="B102" s="11">
        <v>170279.89772134012</v>
      </c>
      <c r="C102" s="11">
        <v>-40279.89772134012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>
        <v>34.0</v>
      </c>
      <c r="B103" s="11">
        <v>92207.6293006121</v>
      </c>
      <c r="C103" s="11">
        <v>11792.370699387902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>
        <v>35.0</v>
      </c>
      <c r="B104" s="11">
        <v>142395.63744977335</v>
      </c>
      <c r="C104" s="11">
        <v>-7395.637449773349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>
        <v>36.0</v>
      </c>
      <c r="B105" s="11">
        <v>181728.64941732754</v>
      </c>
      <c r="C105" s="11">
        <v>-88728.64941732754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>
        <v>37.0</v>
      </c>
      <c r="B106" s="11">
        <v>147923.83575122175</v>
      </c>
      <c r="C106" s="11">
        <v>-35923.83575122175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3">
        <v>38.0</v>
      </c>
      <c r="B107" s="13">
        <v>41048.16038821034</v>
      </c>
      <c r="C107" s="13">
        <v>16951.839611789663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>
        <v>39.0</v>
      </c>
      <c r="B108" s="11">
        <v>69955.69608619576</v>
      </c>
      <c r="C108" s="11">
        <v>-5055.696086195763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1">
        <v>40.0</v>
      </c>
      <c r="B109" s="11">
        <v>168950.262629231</v>
      </c>
      <c r="C109" s="11">
        <v>-53950.262629231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>
        <v>41.0</v>
      </c>
      <c r="B110" s="13">
        <v>100907.12115189183</v>
      </c>
      <c r="C110" s="13">
        <v>92.87884810817195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7" t="s">
        <v>32</v>
      </c>
      <c r="B122" s="37" t="s">
        <v>1</v>
      </c>
      <c r="C122" s="37" t="s">
        <v>2</v>
      </c>
      <c r="D122" s="37" t="s">
        <v>3</v>
      </c>
      <c r="E122" s="37" t="s">
        <v>4</v>
      </c>
      <c r="F122" s="41" t="s">
        <v>33</v>
      </c>
      <c r="G122" s="19" t="s">
        <v>34</v>
      </c>
      <c r="H122" s="20" t="s">
        <v>35</v>
      </c>
      <c r="I122" s="19" t="s">
        <v>36</v>
      </c>
      <c r="J122" s="19" t="s">
        <v>37</v>
      </c>
      <c r="K122" s="19" t="s">
        <v>38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2">
        <v>1.0</v>
      </c>
      <c r="B123" s="38">
        <v>73.8</v>
      </c>
      <c r="C123" s="39">
        <v>5.0</v>
      </c>
      <c r="D123" s="39">
        <f t="shared" ref="D123:D163" si="2">D2</f>
        <v>0</v>
      </c>
      <c r="E123" s="38">
        <v>107010.0</v>
      </c>
      <c r="F123" s="22">
        <f t="shared" ref="F123:F163" si="3">B70</f>
        <v>179594.7704</v>
      </c>
      <c r="G123" s="22">
        <f t="shared" ref="G123:G163" si="4">E123-F123</f>
        <v>-72584.77039</v>
      </c>
      <c r="H123" s="23"/>
      <c r="I123" s="23"/>
      <c r="J123" s="23"/>
      <c r="K123" s="23">
        <f t="shared" ref="K123:K163" si="5">G123^2</f>
        <v>5268548892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2">
        <f t="shared" ref="A124:A163" si="6">A123+1</f>
        <v>2</v>
      </c>
      <c r="B124" s="38">
        <v>98.1</v>
      </c>
      <c r="C124" s="39">
        <v>6.0</v>
      </c>
      <c r="D124" s="39">
        <f t="shared" si="2"/>
        <v>10</v>
      </c>
      <c r="E124" s="38">
        <v>235000.0</v>
      </c>
      <c r="F124" s="22">
        <f t="shared" si="3"/>
        <v>212997.9146</v>
      </c>
      <c r="G124" s="22">
        <f t="shared" si="4"/>
        <v>22002.08541</v>
      </c>
      <c r="H124" s="23">
        <f t="shared" ref="H124:H163" si="7">G123</f>
        <v>-72584.77039</v>
      </c>
      <c r="I124" s="23">
        <f t="shared" ref="I124:I163" si="8">G124-H124</f>
        <v>94586.8558</v>
      </c>
      <c r="J124" s="23">
        <f t="shared" ref="J124:J163" si="9">I124^2</f>
        <v>8946673290</v>
      </c>
      <c r="K124" s="23">
        <f t="shared" si="5"/>
        <v>484091762.4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2">
        <f t="shared" si="6"/>
        <v>3</v>
      </c>
      <c r="B125" s="38">
        <v>76.9</v>
      </c>
      <c r="C125" s="39">
        <v>2.0</v>
      </c>
      <c r="D125" s="39">
        <f t="shared" si="2"/>
        <v>13</v>
      </c>
      <c r="E125" s="38">
        <v>169000.0</v>
      </c>
      <c r="F125" s="22">
        <f t="shared" si="3"/>
        <v>163650.6241</v>
      </c>
      <c r="G125" s="22">
        <f t="shared" si="4"/>
        <v>5349.375936</v>
      </c>
      <c r="H125" s="23">
        <f t="shared" si="7"/>
        <v>22002.08541</v>
      </c>
      <c r="I125" s="23">
        <f t="shared" si="8"/>
        <v>-16652.70948</v>
      </c>
      <c r="J125" s="23">
        <f t="shared" si="9"/>
        <v>277312732.9</v>
      </c>
      <c r="K125" s="23">
        <f t="shared" si="5"/>
        <v>28615822.9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2">
        <f t="shared" si="6"/>
        <v>4</v>
      </c>
      <c r="B126" s="39">
        <v>45.0</v>
      </c>
      <c r="C126" s="39">
        <v>4.0</v>
      </c>
      <c r="D126" s="39">
        <f t="shared" si="2"/>
        <v>63</v>
      </c>
      <c r="E126" s="38">
        <v>74000.0</v>
      </c>
      <c r="F126" s="22">
        <f t="shared" si="3"/>
        <v>75038.74511</v>
      </c>
      <c r="G126" s="22">
        <f t="shared" si="4"/>
        <v>-1038.745114</v>
      </c>
      <c r="H126" s="23">
        <f t="shared" si="7"/>
        <v>5349.375936</v>
      </c>
      <c r="I126" s="23">
        <f t="shared" si="8"/>
        <v>-6388.12105</v>
      </c>
      <c r="J126" s="23">
        <f t="shared" si="9"/>
        <v>40808090.55</v>
      </c>
      <c r="K126" s="23">
        <f t="shared" si="5"/>
        <v>1078991.412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2">
        <f t="shared" si="6"/>
        <v>5</v>
      </c>
      <c r="B127" s="39">
        <v>55.6</v>
      </c>
      <c r="C127" s="39">
        <v>7.0</v>
      </c>
      <c r="D127" s="39">
        <f t="shared" si="2"/>
        <v>47</v>
      </c>
      <c r="E127" s="38">
        <v>108000.0</v>
      </c>
      <c r="F127" s="22">
        <f t="shared" si="3"/>
        <v>115588.8569</v>
      </c>
      <c r="G127" s="22">
        <f t="shared" si="4"/>
        <v>-7588.856877</v>
      </c>
      <c r="H127" s="23">
        <f t="shared" si="7"/>
        <v>-1038.745114</v>
      </c>
      <c r="I127" s="23">
        <f t="shared" si="8"/>
        <v>-6550.111764</v>
      </c>
      <c r="J127" s="23">
        <f t="shared" si="9"/>
        <v>42903964.11</v>
      </c>
      <c r="K127" s="23">
        <f t="shared" si="5"/>
        <v>57590748.71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2">
        <f t="shared" si="6"/>
        <v>6</v>
      </c>
      <c r="B128" s="39">
        <v>122.0</v>
      </c>
      <c r="C128" s="39">
        <v>30.0</v>
      </c>
      <c r="D128" s="39">
        <f t="shared" si="2"/>
        <v>3</v>
      </c>
      <c r="E128" s="38">
        <v>498000.0</v>
      </c>
      <c r="F128" s="22">
        <f t="shared" si="3"/>
        <v>333726.3052</v>
      </c>
      <c r="G128" s="22">
        <f t="shared" si="4"/>
        <v>164273.6948</v>
      </c>
      <c r="H128" s="23">
        <f t="shared" si="7"/>
        <v>-7588.856877</v>
      </c>
      <c r="I128" s="23">
        <f t="shared" si="8"/>
        <v>171862.5517</v>
      </c>
      <c r="J128" s="23">
        <f t="shared" si="9"/>
        <v>29536736671</v>
      </c>
      <c r="K128" s="23">
        <f t="shared" si="5"/>
        <v>26985846805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2">
        <f t="shared" si="6"/>
        <v>7</v>
      </c>
      <c r="B129" s="39">
        <v>48.9</v>
      </c>
      <c r="C129" s="39">
        <v>2.0</v>
      </c>
      <c r="D129" s="39">
        <f t="shared" si="2"/>
        <v>39</v>
      </c>
      <c r="E129" s="39">
        <v>99900.0</v>
      </c>
      <c r="F129" s="22">
        <f t="shared" si="3"/>
        <v>95960.06089</v>
      </c>
      <c r="G129" s="22">
        <f t="shared" si="4"/>
        <v>3939.939111</v>
      </c>
      <c r="H129" s="23">
        <f t="shared" si="7"/>
        <v>164273.6948</v>
      </c>
      <c r="I129" s="23">
        <f t="shared" si="8"/>
        <v>-160333.7557</v>
      </c>
      <c r="J129" s="23">
        <f t="shared" si="9"/>
        <v>25706913215</v>
      </c>
      <c r="K129" s="23">
        <f t="shared" si="5"/>
        <v>15523120.2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2">
        <f t="shared" si="6"/>
        <v>8</v>
      </c>
      <c r="B130" s="39">
        <v>41.15</v>
      </c>
      <c r="C130" s="39">
        <v>10.0</v>
      </c>
      <c r="D130" s="39">
        <f t="shared" si="2"/>
        <v>0</v>
      </c>
      <c r="E130" s="39">
        <v>876415.0</v>
      </c>
      <c r="F130" s="22">
        <f t="shared" si="3"/>
        <v>143101.8074</v>
      </c>
      <c r="G130" s="22">
        <f t="shared" si="4"/>
        <v>733313.1926</v>
      </c>
      <c r="H130" s="23">
        <f t="shared" si="7"/>
        <v>3939.939111</v>
      </c>
      <c r="I130" s="23">
        <f t="shared" si="8"/>
        <v>729373.2535</v>
      </c>
      <c r="J130" s="23">
        <f t="shared" si="9"/>
        <v>531985342893</v>
      </c>
      <c r="K130" s="23">
        <f t="shared" si="5"/>
        <v>537748238429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2">
        <f t="shared" si="6"/>
        <v>9</v>
      </c>
      <c r="B131" s="39">
        <v>42.1</v>
      </c>
      <c r="C131" s="39">
        <v>4.0</v>
      </c>
      <c r="D131" s="39">
        <f t="shared" si="2"/>
        <v>5</v>
      </c>
      <c r="E131" s="39">
        <v>121000.0</v>
      </c>
      <c r="F131" s="22">
        <f t="shared" si="3"/>
        <v>121182.9469</v>
      </c>
      <c r="G131" s="22">
        <f t="shared" si="4"/>
        <v>-182.9469235</v>
      </c>
      <c r="H131" s="23">
        <f t="shared" si="7"/>
        <v>733313.1926</v>
      </c>
      <c r="I131" s="23">
        <f t="shared" si="8"/>
        <v>-733496.1395</v>
      </c>
      <c r="J131" s="23">
        <f t="shared" si="9"/>
        <v>538016586683</v>
      </c>
      <c r="K131" s="23">
        <f t="shared" si="5"/>
        <v>33469.57682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2">
        <f t="shared" si="6"/>
        <v>10</v>
      </c>
      <c r="B132" s="39">
        <v>175.6</v>
      </c>
      <c r="C132" s="39">
        <v>5.0</v>
      </c>
      <c r="D132" s="39">
        <f t="shared" si="2"/>
        <v>0</v>
      </c>
      <c r="E132" s="39">
        <v>320000.0</v>
      </c>
      <c r="F132" s="22">
        <f t="shared" si="3"/>
        <v>342909.8745</v>
      </c>
      <c r="G132" s="22">
        <f t="shared" si="4"/>
        <v>-22909.87446</v>
      </c>
      <c r="H132" s="23">
        <f t="shared" si="7"/>
        <v>-182.9469235</v>
      </c>
      <c r="I132" s="23">
        <f t="shared" si="8"/>
        <v>-22726.92754</v>
      </c>
      <c r="J132" s="23">
        <f t="shared" si="9"/>
        <v>516513235.3</v>
      </c>
      <c r="K132" s="23">
        <f t="shared" si="5"/>
        <v>524862347.9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2">
        <f t="shared" si="6"/>
        <v>11</v>
      </c>
      <c r="B133" s="39">
        <v>56.6</v>
      </c>
      <c r="C133" s="39">
        <v>2.0</v>
      </c>
      <c r="D133" s="39">
        <f t="shared" si="2"/>
        <v>0</v>
      </c>
      <c r="E133" s="39">
        <v>97900.0</v>
      </c>
      <c r="F133" s="22">
        <f t="shared" si="3"/>
        <v>142469.3038</v>
      </c>
      <c r="G133" s="22">
        <f t="shared" si="4"/>
        <v>-44569.30379</v>
      </c>
      <c r="H133" s="23">
        <f t="shared" si="7"/>
        <v>-22909.87446</v>
      </c>
      <c r="I133" s="23">
        <f t="shared" si="8"/>
        <v>-21659.42933</v>
      </c>
      <c r="J133" s="23">
        <f t="shared" si="9"/>
        <v>469130878.7</v>
      </c>
      <c r="K133" s="23">
        <f t="shared" si="5"/>
        <v>1986422840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2">
        <f t="shared" si="6"/>
        <v>12</v>
      </c>
      <c r="B134" s="39">
        <v>79.3</v>
      </c>
      <c r="C134" s="39">
        <v>5.0</v>
      </c>
      <c r="D134" s="39">
        <f t="shared" si="2"/>
        <v>14</v>
      </c>
      <c r="E134" s="39">
        <v>135000.0</v>
      </c>
      <c r="F134" s="22">
        <f t="shared" si="3"/>
        <v>176157.0305</v>
      </c>
      <c r="G134" s="22">
        <f t="shared" si="4"/>
        <v>-41157.03049</v>
      </c>
      <c r="H134" s="23">
        <f t="shared" si="7"/>
        <v>-44569.30379</v>
      </c>
      <c r="I134" s="23">
        <f t="shared" si="8"/>
        <v>3412.273295</v>
      </c>
      <c r="J134" s="23">
        <f t="shared" si="9"/>
        <v>11643609.04</v>
      </c>
      <c r="K134" s="23">
        <f t="shared" si="5"/>
        <v>1693901159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2">
        <f t="shared" si="6"/>
        <v>13</v>
      </c>
      <c r="B135" s="39">
        <v>32.2</v>
      </c>
      <c r="C135" s="39">
        <v>5.0</v>
      </c>
      <c r="D135" s="39">
        <f t="shared" si="2"/>
        <v>2</v>
      </c>
      <c r="E135" s="39">
        <v>112900.0</v>
      </c>
      <c r="F135" s="22">
        <f t="shared" si="3"/>
        <v>111105.3608</v>
      </c>
      <c r="G135" s="22">
        <f t="shared" si="4"/>
        <v>1794.639237</v>
      </c>
      <c r="H135" s="23">
        <f t="shared" si="7"/>
        <v>-41157.03049</v>
      </c>
      <c r="I135" s="23">
        <f t="shared" si="8"/>
        <v>42951.66973</v>
      </c>
      <c r="J135" s="23">
        <f t="shared" si="9"/>
        <v>1844845933</v>
      </c>
      <c r="K135" s="23">
        <f t="shared" si="5"/>
        <v>3220729.992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2">
        <f t="shared" si="6"/>
        <v>14</v>
      </c>
      <c r="B136" s="39">
        <v>107.7</v>
      </c>
      <c r="C136" s="39">
        <v>16.0</v>
      </c>
      <c r="D136" s="39">
        <f t="shared" si="2"/>
        <v>21</v>
      </c>
      <c r="E136" s="39">
        <v>235000.0</v>
      </c>
      <c r="F136" s="22">
        <f t="shared" si="3"/>
        <v>250538.2819</v>
      </c>
      <c r="G136" s="22">
        <f t="shared" si="4"/>
        <v>-15538.28192</v>
      </c>
      <c r="H136" s="23">
        <f t="shared" si="7"/>
        <v>1794.639237</v>
      </c>
      <c r="I136" s="23">
        <f t="shared" si="8"/>
        <v>-17332.92116</v>
      </c>
      <c r="J136" s="23">
        <f t="shared" si="9"/>
        <v>300430155.8</v>
      </c>
      <c r="K136" s="23">
        <f t="shared" si="5"/>
        <v>241438205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2">
        <f t="shared" si="6"/>
        <v>15</v>
      </c>
      <c r="B137" s="39">
        <v>65.5</v>
      </c>
      <c r="C137" s="39">
        <v>2.0</v>
      </c>
      <c r="D137" s="39">
        <f t="shared" si="2"/>
        <v>19</v>
      </c>
      <c r="E137" s="39">
        <v>218000.0</v>
      </c>
      <c r="F137" s="22">
        <f t="shared" si="3"/>
        <v>140107.0789</v>
      </c>
      <c r="G137" s="22">
        <f t="shared" si="4"/>
        <v>77892.9211</v>
      </c>
      <c r="H137" s="23">
        <f t="shared" si="7"/>
        <v>-15538.28192</v>
      </c>
      <c r="I137" s="23">
        <f t="shared" si="8"/>
        <v>93431.20302</v>
      </c>
      <c r="J137" s="23">
        <f t="shared" si="9"/>
        <v>8729389698</v>
      </c>
      <c r="K137" s="23">
        <f t="shared" si="5"/>
        <v>6067307158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2">
        <f t="shared" si="6"/>
        <v>16</v>
      </c>
      <c r="B138" s="39">
        <v>35.3</v>
      </c>
      <c r="C138" s="39">
        <v>2.0</v>
      </c>
      <c r="D138" s="39">
        <f t="shared" si="2"/>
        <v>21</v>
      </c>
      <c r="E138" s="39">
        <v>63000.0</v>
      </c>
      <c r="F138" s="22">
        <f t="shared" si="3"/>
        <v>89906.39409</v>
      </c>
      <c r="G138" s="22">
        <f t="shared" si="4"/>
        <v>-26906.39409</v>
      </c>
      <c r="H138" s="23">
        <f t="shared" si="7"/>
        <v>77892.9211</v>
      </c>
      <c r="I138" s="23">
        <f t="shared" si="8"/>
        <v>-104799.3152</v>
      </c>
      <c r="J138" s="23">
        <f t="shared" si="9"/>
        <v>10982896465</v>
      </c>
      <c r="K138" s="23">
        <f t="shared" si="5"/>
        <v>723954042.8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2">
        <f t="shared" si="6"/>
        <v>17</v>
      </c>
      <c r="B139" s="39">
        <v>45.8</v>
      </c>
      <c r="C139" s="39">
        <v>7.0</v>
      </c>
      <c r="D139" s="39">
        <f t="shared" si="2"/>
        <v>2</v>
      </c>
      <c r="E139" s="39">
        <v>84000.0</v>
      </c>
      <c r="F139" s="22">
        <f t="shared" si="3"/>
        <v>139278.1233</v>
      </c>
      <c r="G139" s="22">
        <f t="shared" si="4"/>
        <v>-55278.12326</v>
      </c>
      <c r="H139" s="23">
        <f t="shared" si="7"/>
        <v>-26906.39409</v>
      </c>
      <c r="I139" s="23">
        <f t="shared" si="8"/>
        <v>-28371.72917</v>
      </c>
      <c r="J139" s="23">
        <f t="shared" si="9"/>
        <v>804955016.1</v>
      </c>
      <c r="K139" s="23">
        <f t="shared" si="5"/>
        <v>3055670911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2">
        <f t="shared" si="6"/>
        <v>18</v>
      </c>
      <c r="B140" s="39">
        <v>94.2</v>
      </c>
      <c r="C140" s="39">
        <v>12.0</v>
      </c>
      <c r="D140" s="39">
        <f t="shared" si="2"/>
        <v>8</v>
      </c>
      <c r="E140" s="39">
        <v>189000.0</v>
      </c>
      <c r="F140" s="22">
        <f t="shared" si="3"/>
        <v>227556.7563</v>
      </c>
      <c r="G140" s="22">
        <f t="shared" si="4"/>
        <v>-38556.75628</v>
      </c>
      <c r="H140" s="23">
        <f t="shared" si="7"/>
        <v>-55278.12326</v>
      </c>
      <c r="I140" s="23">
        <f t="shared" si="8"/>
        <v>16721.36697</v>
      </c>
      <c r="J140" s="23">
        <f t="shared" si="9"/>
        <v>279604113.5</v>
      </c>
      <c r="K140" s="23">
        <f t="shared" si="5"/>
        <v>1486623455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2">
        <f t="shared" si="6"/>
        <v>19</v>
      </c>
      <c r="B141" s="39">
        <v>58.3</v>
      </c>
      <c r="C141" s="39">
        <v>13.0</v>
      </c>
      <c r="D141" s="39">
        <f t="shared" si="2"/>
        <v>1</v>
      </c>
      <c r="E141" s="39">
        <v>129000.0</v>
      </c>
      <c r="F141" s="22">
        <f t="shared" si="3"/>
        <v>179271.2569</v>
      </c>
      <c r="G141" s="22">
        <f t="shared" si="4"/>
        <v>-50271.25691</v>
      </c>
      <c r="H141" s="23">
        <f t="shared" si="7"/>
        <v>-38556.75628</v>
      </c>
      <c r="I141" s="23">
        <f t="shared" si="8"/>
        <v>-11714.50063</v>
      </c>
      <c r="J141" s="23">
        <f t="shared" si="9"/>
        <v>137229525</v>
      </c>
      <c r="K141" s="23">
        <f t="shared" si="5"/>
        <v>2527199272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2">
        <f t="shared" si="6"/>
        <v>20</v>
      </c>
      <c r="B142" s="39">
        <v>58.2</v>
      </c>
      <c r="C142" s="39">
        <v>8.0</v>
      </c>
      <c r="D142" s="39">
        <f t="shared" si="2"/>
        <v>2</v>
      </c>
      <c r="E142" s="39">
        <v>104900.0</v>
      </c>
      <c r="F142" s="22">
        <f t="shared" si="3"/>
        <v>162348.4395</v>
      </c>
      <c r="G142" s="22">
        <f t="shared" si="4"/>
        <v>-57448.4395</v>
      </c>
      <c r="H142" s="23">
        <f t="shared" si="7"/>
        <v>-50271.25691</v>
      </c>
      <c r="I142" s="23">
        <f t="shared" si="8"/>
        <v>-7177.182591</v>
      </c>
      <c r="J142" s="23">
        <f t="shared" si="9"/>
        <v>51511949.94</v>
      </c>
      <c r="K142" s="23">
        <f t="shared" si="5"/>
        <v>3300323201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2">
        <f t="shared" si="6"/>
        <v>21</v>
      </c>
      <c r="B143" s="39">
        <v>133.1</v>
      </c>
      <c r="C143" s="39">
        <v>4.0</v>
      </c>
      <c r="D143" s="39">
        <f t="shared" si="2"/>
        <v>18</v>
      </c>
      <c r="E143" s="39">
        <v>284900.0</v>
      </c>
      <c r="F143" s="22">
        <f t="shared" si="3"/>
        <v>255786.4466</v>
      </c>
      <c r="G143" s="22">
        <f t="shared" si="4"/>
        <v>29113.55345</v>
      </c>
      <c r="H143" s="23">
        <f t="shared" si="7"/>
        <v>-57448.4395</v>
      </c>
      <c r="I143" s="23">
        <f t="shared" si="8"/>
        <v>86561.99295</v>
      </c>
      <c r="J143" s="23">
        <f t="shared" si="9"/>
        <v>7492978624</v>
      </c>
      <c r="K143" s="23">
        <f t="shared" si="5"/>
        <v>847598994.5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2">
        <f t="shared" si="6"/>
        <v>22</v>
      </c>
      <c r="B144" s="39">
        <v>63.5</v>
      </c>
      <c r="C144" s="39">
        <v>10.0</v>
      </c>
      <c r="D144" s="39">
        <f t="shared" si="2"/>
        <v>0</v>
      </c>
      <c r="E144" s="39">
        <v>132700.0</v>
      </c>
      <c r="F144" s="22">
        <f t="shared" si="3"/>
        <v>178957.3337</v>
      </c>
      <c r="G144" s="22">
        <f t="shared" si="4"/>
        <v>-46257.3337</v>
      </c>
      <c r="H144" s="23">
        <f t="shared" si="7"/>
        <v>29113.55345</v>
      </c>
      <c r="I144" s="23">
        <f t="shared" si="8"/>
        <v>-75370.88715</v>
      </c>
      <c r="J144" s="23">
        <f t="shared" si="9"/>
        <v>5680770629</v>
      </c>
      <c r="K144" s="23">
        <f t="shared" si="5"/>
        <v>2139740921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2">
        <f t="shared" si="6"/>
        <v>23</v>
      </c>
      <c r="B145" s="39">
        <v>55.6</v>
      </c>
      <c r="C145" s="39">
        <v>22.0</v>
      </c>
      <c r="D145" s="39">
        <f t="shared" si="2"/>
        <v>4</v>
      </c>
      <c r="E145" s="39">
        <v>144900.0</v>
      </c>
      <c r="F145" s="22">
        <f t="shared" si="3"/>
        <v>200908.1625</v>
      </c>
      <c r="G145" s="22">
        <f t="shared" si="4"/>
        <v>-56008.16254</v>
      </c>
      <c r="H145" s="23">
        <f t="shared" si="7"/>
        <v>-46257.3337</v>
      </c>
      <c r="I145" s="23">
        <f t="shared" si="8"/>
        <v>-9750.828845</v>
      </c>
      <c r="J145" s="23">
        <f t="shared" si="9"/>
        <v>95078663.17</v>
      </c>
      <c r="K145" s="23">
        <f t="shared" si="5"/>
        <v>3136914271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2">
        <f t="shared" si="6"/>
        <v>24</v>
      </c>
      <c r="B146" s="39">
        <v>61.0</v>
      </c>
      <c r="C146" s="39">
        <v>7.0</v>
      </c>
      <c r="D146" s="39">
        <f t="shared" si="2"/>
        <v>17</v>
      </c>
      <c r="E146" s="39">
        <v>117500.0</v>
      </c>
      <c r="F146" s="22">
        <f t="shared" si="3"/>
        <v>150526.0388</v>
      </c>
      <c r="G146" s="22">
        <f t="shared" si="4"/>
        <v>-33026.03881</v>
      </c>
      <c r="H146" s="23">
        <f t="shared" si="7"/>
        <v>-56008.16254</v>
      </c>
      <c r="I146" s="23">
        <f t="shared" si="8"/>
        <v>22982.12374</v>
      </c>
      <c r="J146" s="23">
        <f t="shared" si="9"/>
        <v>528178011.4</v>
      </c>
      <c r="K146" s="23">
        <f t="shared" si="5"/>
        <v>1090719239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2">
        <f t="shared" si="6"/>
        <v>25</v>
      </c>
      <c r="B147" s="39">
        <v>35.2</v>
      </c>
      <c r="C147" s="39">
        <v>1.0</v>
      </c>
      <c r="D147" s="39">
        <f t="shared" si="2"/>
        <v>38</v>
      </c>
      <c r="E147" s="39">
        <v>87500.0</v>
      </c>
      <c r="F147" s="22">
        <f t="shared" si="3"/>
        <v>71679.9917</v>
      </c>
      <c r="G147" s="22">
        <f t="shared" si="4"/>
        <v>15820.0083</v>
      </c>
      <c r="H147" s="23">
        <f t="shared" si="7"/>
        <v>-33026.03881</v>
      </c>
      <c r="I147" s="23">
        <f t="shared" si="8"/>
        <v>48846.04711</v>
      </c>
      <c r="J147" s="23">
        <f t="shared" si="9"/>
        <v>2385936318</v>
      </c>
      <c r="K147" s="23">
        <f t="shared" si="5"/>
        <v>250272662.7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2">
        <f t="shared" si="6"/>
        <v>26</v>
      </c>
      <c r="B148" s="39">
        <v>34.9</v>
      </c>
      <c r="C148" s="39">
        <v>8.0</v>
      </c>
      <c r="D148" s="39">
        <f t="shared" si="2"/>
        <v>49</v>
      </c>
      <c r="E148" s="39">
        <v>65000.0</v>
      </c>
      <c r="F148" s="22">
        <f t="shared" si="3"/>
        <v>83806.0934</v>
      </c>
      <c r="G148" s="22">
        <f t="shared" si="4"/>
        <v>-18806.0934</v>
      </c>
      <c r="H148" s="23">
        <f t="shared" si="7"/>
        <v>15820.0083</v>
      </c>
      <c r="I148" s="23">
        <f t="shared" si="8"/>
        <v>-34626.10171</v>
      </c>
      <c r="J148" s="23">
        <f t="shared" si="9"/>
        <v>1198966920</v>
      </c>
      <c r="K148" s="23">
        <f t="shared" si="5"/>
        <v>353669149.1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2">
        <f t="shared" si="6"/>
        <v>27</v>
      </c>
      <c r="B149" s="39">
        <v>32.0</v>
      </c>
      <c r="C149" s="39">
        <v>2.0</v>
      </c>
      <c r="D149" s="39">
        <f t="shared" si="2"/>
        <v>64</v>
      </c>
      <c r="E149" s="39">
        <v>63700.0</v>
      </c>
      <c r="F149" s="22">
        <f t="shared" si="3"/>
        <v>46952.74369</v>
      </c>
      <c r="G149" s="22">
        <f t="shared" si="4"/>
        <v>16747.25631</v>
      </c>
      <c r="H149" s="23">
        <f t="shared" si="7"/>
        <v>-18806.0934</v>
      </c>
      <c r="I149" s="23">
        <f t="shared" si="8"/>
        <v>35553.34971</v>
      </c>
      <c r="J149" s="23">
        <f t="shared" si="9"/>
        <v>1264040676</v>
      </c>
      <c r="K149" s="23">
        <f t="shared" si="5"/>
        <v>280470593.9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2">
        <f t="shared" si="6"/>
        <v>28</v>
      </c>
      <c r="B150" s="39">
        <v>34.6</v>
      </c>
      <c r="C150" s="39">
        <v>9.0</v>
      </c>
      <c r="D150" s="39">
        <f t="shared" si="2"/>
        <v>2</v>
      </c>
      <c r="E150" s="39">
        <v>87500.0</v>
      </c>
      <c r="F150" s="22">
        <f t="shared" si="3"/>
        <v>127664.8879</v>
      </c>
      <c r="G150" s="22">
        <f t="shared" si="4"/>
        <v>-40164.8879</v>
      </c>
      <c r="H150" s="23">
        <f t="shared" si="7"/>
        <v>16747.25631</v>
      </c>
      <c r="I150" s="23">
        <f t="shared" si="8"/>
        <v>-56912.14421</v>
      </c>
      <c r="J150" s="23">
        <f t="shared" si="9"/>
        <v>3238992159</v>
      </c>
      <c r="K150" s="23">
        <f t="shared" si="5"/>
        <v>1613218220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2">
        <f t="shared" si="6"/>
        <v>29</v>
      </c>
      <c r="B151" s="39">
        <v>44.9</v>
      </c>
      <c r="C151" s="39">
        <v>11.0</v>
      </c>
      <c r="D151" s="39">
        <f t="shared" si="2"/>
        <v>15</v>
      </c>
      <c r="E151" s="39">
        <v>77900.0</v>
      </c>
      <c r="F151" s="22">
        <f t="shared" si="3"/>
        <v>139158.1018</v>
      </c>
      <c r="G151" s="22">
        <f t="shared" si="4"/>
        <v>-61258.10175</v>
      </c>
      <c r="H151" s="23">
        <f t="shared" si="7"/>
        <v>-40164.8879</v>
      </c>
      <c r="I151" s="23">
        <f t="shared" si="8"/>
        <v>-21093.21385</v>
      </c>
      <c r="J151" s="23">
        <f t="shared" si="9"/>
        <v>444923670.5</v>
      </c>
      <c r="K151" s="23">
        <f t="shared" si="5"/>
        <v>3752555031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2">
        <f t="shared" si="6"/>
        <v>30</v>
      </c>
      <c r="B152" s="39">
        <v>90.3</v>
      </c>
      <c r="C152" s="39">
        <v>16.0</v>
      </c>
      <c r="D152" s="39">
        <f t="shared" si="2"/>
        <v>0</v>
      </c>
      <c r="E152" s="39">
        <v>190000.0</v>
      </c>
      <c r="F152" s="22">
        <f t="shared" si="3"/>
        <v>241015.7837</v>
      </c>
      <c r="G152" s="22">
        <f t="shared" si="4"/>
        <v>-51015.78369</v>
      </c>
      <c r="H152" s="23">
        <f t="shared" si="7"/>
        <v>-61258.10175</v>
      </c>
      <c r="I152" s="23">
        <f t="shared" si="8"/>
        <v>10242.31807</v>
      </c>
      <c r="J152" s="23">
        <f t="shared" si="9"/>
        <v>104905079.4</v>
      </c>
      <c r="K152" s="23">
        <f t="shared" si="5"/>
        <v>2602610185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2">
        <f t="shared" si="6"/>
        <v>31</v>
      </c>
      <c r="B153" s="39">
        <v>26.1</v>
      </c>
      <c r="C153" s="39">
        <v>24.0</v>
      </c>
      <c r="D153" s="39">
        <f t="shared" si="2"/>
        <v>3</v>
      </c>
      <c r="E153" s="39">
        <v>87000.0</v>
      </c>
      <c r="F153" s="22">
        <f t="shared" si="3"/>
        <v>160812.5144</v>
      </c>
      <c r="G153" s="22">
        <f t="shared" si="4"/>
        <v>-73812.51442</v>
      </c>
      <c r="H153" s="23">
        <f t="shared" si="7"/>
        <v>-51015.78369</v>
      </c>
      <c r="I153" s="23">
        <f t="shared" si="8"/>
        <v>-22796.73074</v>
      </c>
      <c r="J153" s="23">
        <f t="shared" si="9"/>
        <v>519690932.4</v>
      </c>
      <c r="K153" s="23">
        <f t="shared" si="5"/>
        <v>5448287286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2">
        <f t="shared" si="6"/>
        <v>32</v>
      </c>
      <c r="B154" s="39">
        <v>39.5</v>
      </c>
      <c r="C154" s="39">
        <v>18.0</v>
      </c>
      <c r="D154" s="39">
        <f t="shared" si="2"/>
        <v>4</v>
      </c>
      <c r="E154" s="39">
        <v>109000.0</v>
      </c>
      <c r="F154" s="22">
        <f t="shared" si="3"/>
        <v>162370.0801</v>
      </c>
      <c r="G154" s="22">
        <f t="shared" si="4"/>
        <v>-53370.08014</v>
      </c>
      <c r="H154" s="23">
        <f t="shared" si="7"/>
        <v>-73812.51442</v>
      </c>
      <c r="I154" s="23">
        <f t="shared" si="8"/>
        <v>20442.43429</v>
      </c>
      <c r="J154" s="23">
        <f t="shared" si="9"/>
        <v>417893119.6</v>
      </c>
      <c r="K154" s="23">
        <f t="shared" si="5"/>
        <v>2848365454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2">
        <f t="shared" si="6"/>
        <v>33</v>
      </c>
      <c r="B155" s="39">
        <v>68.4</v>
      </c>
      <c r="C155" s="39">
        <v>7.0</v>
      </c>
      <c r="D155" s="39">
        <f t="shared" si="2"/>
        <v>8</v>
      </c>
      <c r="E155" s="39">
        <v>130000.0</v>
      </c>
      <c r="F155" s="22">
        <f t="shared" si="3"/>
        <v>170279.8977</v>
      </c>
      <c r="G155" s="22">
        <f t="shared" si="4"/>
        <v>-40279.89772</v>
      </c>
      <c r="H155" s="23">
        <f t="shared" si="7"/>
        <v>-53370.08014</v>
      </c>
      <c r="I155" s="23">
        <f t="shared" si="8"/>
        <v>13090.18241</v>
      </c>
      <c r="J155" s="23">
        <f t="shared" si="9"/>
        <v>171352875.7</v>
      </c>
      <c r="K155" s="23">
        <f t="shared" si="5"/>
        <v>1622470160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2">
        <f t="shared" si="6"/>
        <v>34</v>
      </c>
      <c r="B156" s="39">
        <v>49.9</v>
      </c>
      <c r="C156" s="39">
        <v>5.0</v>
      </c>
      <c r="D156" s="39">
        <f t="shared" si="2"/>
        <v>56</v>
      </c>
      <c r="E156" s="39">
        <v>104000.0</v>
      </c>
      <c r="F156" s="22">
        <f t="shared" si="3"/>
        <v>92207.6293</v>
      </c>
      <c r="G156" s="22">
        <f t="shared" si="4"/>
        <v>11792.3707</v>
      </c>
      <c r="H156" s="23">
        <f t="shared" si="7"/>
        <v>-40279.89772</v>
      </c>
      <c r="I156" s="23">
        <f t="shared" si="8"/>
        <v>52072.26842</v>
      </c>
      <c r="J156" s="23">
        <f t="shared" si="9"/>
        <v>2711521138</v>
      </c>
      <c r="K156" s="23">
        <f t="shared" si="5"/>
        <v>139060006.7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2">
        <f t="shared" si="6"/>
        <v>35</v>
      </c>
      <c r="B157" s="39">
        <v>57.1</v>
      </c>
      <c r="C157" s="39">
        <v>2.0</v>
      </c>
      <c r="D157" s="39">
        <f t="shared" si="2"/>
        <v>1</v>
      </c>
      <c r="E157" s="39">
        <v>135000.0</v>
      </c>
      <c r="F157" s="22">
        <f t="shared" si="3"/>
        <v>142395.6374</v>
      </c>
      <c r="G157" s="22">
        <f t="shared" si="4"/>
        <v>-7395.63745</v>
      </c>
      <c r="H157" s="23">
        <f t="shared" si="7"/>
        <v>11792.3707</v>
      </c>
      <c r="I157" s="23">
        <f t="shared" si="8"/>
        <v>-19188.00815</v>
      </c>
      <c r="J157" s="23">
        <f t="shared" si="9"/>
        <v>368179656.7</v>
      </c>
      <c r="K157" s="23">
        <f t="shared" si="5"/>
        <v>54695453.29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2">
        <f t="shared" si="6"/>
        <v>36</v>
      </c>
      <c r="B158" s="39">
        <v>37.5</v>
      </c>
      <c r="C158" s="39">
        <v>24.0</v>
      </c>
      <c r="D158" s="39">
        <f t="shared" si="2"/>
        <v>0</v>
      </c>
      <c r="E158" s="39">
        <v>93000.0</v>
      </c>
      <c r="F158" s="22">
        <f t="shared" si="3"/>
        <v>181728.6494</v>
      </c>
      <c r="G158" s="22">
        <f t="shared" si="4"/>
        <v>-88728.64942</v>
      </c>
      <c r="H158" s="23">
        <f t="shared" si="7"/>
        <v>-7395.63745</v>
      </c>
      <c r="I158" s="23">
        <f t="shared" si="8"/>
        <v>-81333.01197</v>
      </c>
      <c r="J158" s="23">
        <f t="shared" si="9"/>
        <v>6615058836</v>
      </c>
      <c r="K158" s="23">
        <f t="shared" si="5"/>
        <v>7872773227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2">
        <f t="shared" si="6"/>
        <v>37</v>
      </c>
      <c r="B159" s="39">
        <v>60.0</v>
      </c>
      <c r="C159" s="39">
        <v>2.0</v>
      </c>
      <c r="D159" s="39">
        <f t="shared" si="2"/>
        <v>0</v>
      </c>
      <c r="E159" s="39">
        <v>112000.0</v>
      </c>
      <c r="F159" s="22">
        <f t="shared" si="3"/>
        <v>147923.8358</v>
      </c>
      <c r="G159" s="22">
        <f t="shared" si="4"/>
        <v>-35923.83575</v>
      </c>
      <c r="H159" s="23">
        <f t="shared" si="7"/>
        <v>-88728.64942</v>
      </c>
      <c r="I159" s="23">
        <f t="shared" si="8"/>
        <v>52804.81367</v>
      </c>
      <c r="J159" s="23">
        <f t="shared" si="9"/>
        <v>2788348346</v>
      </c>
      <c r="K159" s="23">
        <f t="shared" si="5"/>
        <v>1290521975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2">
        <f t="shared" si="6"/>
        <v>38</v>
      </c>
      <c r="B160" s="39">
        <v>30.3</v>
      </c>
      <c r="C160" s="39">
        <v>1.0</v>
      </c>
      <c r="D160" s="39">
        <f t="shared" si="2"/>
        <v>64</v>
      </c>
      <c r="E160" s="39">
        <v>58000.0</v>
      </c>
      <c r="F160" s="22">
        <f t="shared" si="3"/>
        <v>41048.16039</v>
      </c>
      <c r="G160" s="22">
        <f t="shared" si="4"/>
        <v>16951.83961</v>
      </c>
      <c r="H160" s="23">
        <f t="shared" si="7"/>
        <v>-35923.83575</v>
      </c>
      <c r="I160" s="23">
        <f t="shared" si="8"/>
        <v>52875.67536</v>
      </c>
      <c r="J160" s="23">
        <f t="shared" si="9"/>
        <v>2795837045</v>
      </c>
      <c r="K160" s="23">
        <f t="shared" si="5"/>
        <v>287364866.2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2">
        <f t="shared" si="6"/>
        <v>39</v>
      </c>
      <c r="B161" s="39">
        <v>33.3</v>
      </c>
      <c r="C161" s="39">
        <v>5.0</v>
      </c>
      <c r="D161" s="39">
        <f t="shared" si="2"/>
        <v>51</v>
      </c>
      <c r="E161" s="39">
        <v>64900.0</v>
      </c>
      <c r="F161" s="22">
        <f t="shared" si="3"/>
        <v>69955.69609</v>
      </c>
      <c r="G161" s="22">
        <f t="shared" si="4"/>
        <v>-5055.696086</v>
      </c>
      <c r="H161" s="23">
        <f t="shared" si="7"/>
        <v>16951.83961</v>
      </c>
      <c r="I161" s="23">
        <f t="shared" si="8"/>
        <v>-22007.5357</v>
      </c>
      <c r="J161" s="23">
        <f t="shared" si="9"/>
        <v>484331627.5</v>
      </c>
      <c r="K161" s="23">
        <f t="shared" si="5"/>
        <v>25560062.92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2">
        <f t="shared" si="6"/>
        <v>40</v>
      </c>
      <c r="B162" s="39">
        <v>58.9</v>
      </c>
      <c r="C162" s="39">
        <v>10.0</v>
      </c>
      <c r="D162" s="39">
        <f t="shared" si="2"/>
        <v>3</v>
      </c>
      <c r="E162" s="39">
        <v>115000.0</v>
      </c>
      <c r="F162" s="22">
        <f t="shared" si="3"/>
        <v>168950.2626</v>
      </c>
      <c r="G162" s="22">
        <f t="shared" si="4"/>
        <v>-53950.26263</v>
      </c>
      <c r="H162" s="23">
        <f t="shared" si="7"/>
        <v>-5055.696086</v>
      </c>
      <c r="I162" s="23">
        <f t="shared" si="8"/>
        <v>-48894.56654</v>
      </c>
      <c r="J162" s="23">
        <f t="shared" si="9"/>
        <v>2390678637</v>
      </c>
      <c r="K162" s="23">
        <f t="shared" si="5"/>
        <v>2910630838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2">
        <f t="shared" si="6"/>
        <v>41</v>
      </c>
      <c r="B163" s="39">
        <v>49.8</v>
      </c>
      <c r="C163" s="39">
        <v>2.0</v>
      </c>
      <c r="D163" s="39">
        <f t="shared" si="2"/>
        <v>35</v>
      </c>
      <c r="E163" s="39">
        <v>101000.0</v>
      </c>
      <c r="F163" s="22">
        <f t="shared" si="3"/>
        <v>100907.1212</v>
      </c>
      <c r="G163" s="22">
        <f t="shared" si="4"/>
        <v>92.87884811</v>
      </c>
      <c r="H163" s="23">
        <f t="shared" si="7"/>
        <v>-53950.26263</v>
      </c>
      <c r="I163" s="23">
        <f t="shared" si="8"/>
        <v>54043.14148</v>
      </c>
      <c r="J163" s="23">
        <f t="shared" si="9"/>
        <v>2920661141</v>
      </c>
      <c r="K163" s="23">
        <f t="shared" si="5"/>
        <v>8626.480426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>
        <f t="shared" ref="J164:K164" si="10">SUM(J123:J163)</f>
        <v>1203299752224</v>
      </c>
      <c r="K164" s="3">
        <f t="shared" si="10"/>
        <v>630767998586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6" t="s">
        <v>39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5" t="s">
        <v>59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6" t="s">
        <v>41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5"/>
      <c r="U180" s="3"/>
      <c r="V180" s="3"/>
      <c r="W180" s="3"/>
      <c r="X180" s="3"/>
      <c r="Y180" s="3"/>
      <c r="Z180" s="3"/>
    </row>
    <row r="181">
      <c r="A181" s="27" t="s">
        <v>42</v>
      </c>
      <c r="B181" s="42" t="s">
        <v>60</v>
      </c>
      <c r="C181" s="27" t="s">
        <v>42</v>
      </c>
      <c r="D181" s="42" t="s">
        <v>60</v>
      </c>
      <c r="E181" s="27" t="s">
        <v>42</v>
      </c>
      <c r="F181" s="42" t="s">
        <v>60</v>
      </c>
      <c r="G181" s="27" t="s">
        <v>42</v>
      </c>
      <c r="H181" s="42" t="s">
        <v>60</v>
      </c>
      <c r="I181" s="27" t="s">
        <v>42</v>
      </c>
      <c r="J181" s="42" t="s">
        <v>60</v>
      </c>
      <c r="K181" s="27" t="s">
        <v>42</v>
      </c>
      <c r="L181" s="42" t="s">
        <v>60</v>
      </c>
      <c r="M181" s="27" t="s">
        <v>42</v>
      </c>
      <c r="N181" s="42" t="s">
        <v>60</v>
      </c>
      <c r="O181" s="27" t="s">
        <v>42</v>
      </c>
      <c r="P181" s="42" t="s">
        <v>60</v>
      </c>
      <c r="Q181" s="27" t="s">
        <v>42</v>
      </c>
      <c r="R181" s="42" t="s">
        <v>60</v>
      </c>
      <c r="S181" s="27" t="s">
        <v>42</v>
      </c>
      <c r="T181" s="42" t="s">
        <v>60</v>
      </c>
      <c r="U181" s="27" t="s">
        <v>42</v>
      </c>
      <c r="V181" s="42" t="s">
        <v>60</v>
      </c>
      <c r="W181" s="3"/>
      <c r="X181" s="3"/>
      <c r="Y181" s="3"/>
      <c r="Z181" s="3"/>
    </row>
    <row r="182">
      <c r="A182" s="27">
        <v>1.0</v>
      </c>
      <c r="B182" s="27">
        <v>2.0</v>
      </c>
      <c r="C182" s="27">
        <v>2.0</v>
      </c>
      <c r="D182" s="27">
        <v>3.0</v>
      </c>
      <c r="E182" s="27">
        <v>4.0</v>
      </c>
      <c r="F182" s="27">
        <v>1.0</v>
      </c>
      <c r="G182" s="27">
        <v>1.0</v>
      </c>
      <c r="H182" s="27">
        <v>1.0</v>
      </c>
      <c r="I182" s="27">
        <v>1.0</v>
      </c>
      <c r="J182" s="27">
        <v>6.0</v>
      </c>
      <c r="K182" s="27">
        <v>1.0</v>
      </c>
      <c r="L182" s="27">
        <v>1.0</v>
      </c>
      <c r="M182" s="27">
        <v>1.0</v>
      </c>
      <c r="N182" s="27">
        <v>1.0</v>
      </c>
      <c r="O182" s="27">
        <v>1.0</v>
      </c>
      <c r="P182" s="27">
        <v>1.0</v>
      </c>
      <c r="Q182" s="27">
        <v>4.0</v>
      </c>
      <c r="R182" s="27">
        <v>1.0</v>
      </c>
      <c r="S182" s="27">
        <v>1.0</v>
      </c>
      <c r="T182" s="27">
        <v>1.0</v>
      </c>
      <c r="U182" s="27">
        <v>2.0</v>
      </c>
      <c r="V182" s="27">
        <v>1.0</v>
      </c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5" t="s">
        <v>43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8" t="s">
        <v>44</v>
      </c>
      <c r="B184" s="29"/>
      <c r="C184" s="30">
        <v>22.0</v>
      </c>
      <c r="D184" s="3"/>
      <c r="E184" s="19" t="s">
        <v>45</v>
      </c>
      <c r="F184" s="19">
        <v>11.0</v>
      </c>
      <c r="G184" s="3"/>
      <c r="H184" s="19" t="s">
        <v>46</v>
      </c>
      <c r="I184" s="23">
        <f> 2 * F184 * F185 / (F184 + F185) +1</f>
        <v>17.09756098</v>
      </c>
      <c r="J184" s="3"/>
      <c r="K184" s="19" t="s">
        <v>47</v>
      </c>
      <c r="L184" s="23"/>
      <c r="M184" s="23"/>
      <c r="N184" s="20">
        <f>_xlfn.NORM.S.INV(1-0.05/2)</f>
        <v>1.959963986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8" t="s">
        <v>48</v>
      </c>
      <c r="B185" s="29"/>
      <c r="C185" s="30">
        <v>41.0</v>
      </c>
      <c r="D185" s="3"/>
      <c r="E185" s="19" t="s">
        <v>49</v>
      </c>
      <c r="F185" s="19">
        <v>30.0</v>
      </c>
      <c r="G185" s="3"/>
      <c r="H185" s="19" t="s">
        <v>50</v>
      </c>
      <c r="I185" s="23">
        <f>2*F184*F185*(2*F184*F185 - F184 - F185) / ((F184+F185)^2 * (F184+F185-1))</f>
        <v>6.07584771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>
        <f>I184-N184*SQRT(I185)</f>
        <v>12.26639975</v>
      </c>
      <c r="H188" s="3"/>
      <c r="I188" s="5" t="s">
        <v>52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>
        <f>I184+N184*SQRT(I185)</f>
        <v>21.9287222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 t="s">
        <v>53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3" t="s">
        <v>54</v>
      </c>
      <c r="B200" s="3">
        <f>J164/K164</f>
        <v>1.907674065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3" t="s">
        <v>55</v>
      </c>
      <c r="B201" s="5">
        <v>1.338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3" t="s">
        <v>56</v>
      </c>
      <c r="B202" s="5">
        <v>1.659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 t="s">
        <v>61</v>
      </c>
      <c r="B203" s="3">
        <f>4-B202</f>
        <v>2.341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K55:M55"/>
    <mergeCell ref="A184:B184"/>
    <mergeCell ref="A185:B18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>
        <v>1.0</v>
      </c>
      <c r="B2" s="4">
        <v>12.0</v>
      </c>
      <c r="C2" s="4">
        <v>2.0</v>
      </c>
      <c r="D2" s="4">
        <v>8.0</v>
      </c>
      <c r="E2" s="4">
        <v>139.0</v>
      </c>
      <c r="F2" s="3"/>
      <c r="G2" s="5" t="s">
        <v>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>
        <v>2.0</v>
      </c>
      <c r="B3" s="4">
        <v>17.0</v>
      </c>
      <c r="C3" s="4">
        <v>5.0</v>
      </c>
      <c r="D3" s="4">
        <v>12.0</v>
      </c>
      <c r="E3" s="4">
        <v>182.0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>
        <v>3.0</v>
      </c>
      <c r="B4" s="4">
        <v>14.0</v>
      </c>
      <c r="C4" s="4">
        <v>6.0</v>
      </c>
      <c r="D4" s="4">
        <v>11.0</v>
      </c>
      <c r="E4" s="4">
        <v>164.0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>
        <v>4.0</v>
      </c>
      <c r="B5" s="4">
        <v>13.0</v>
      </c>
      <c r="C5" s="4">
        <v>4.0</v>
      </c>
      <c r="D5" s="4">
        <v>9.0</v>
      </c>
      <c r="E5" s="4">
        <v>150.0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>
        <v>5.0</v>
      </c>
      <c r="B6" s="4">
        <v>16.0</v>
      </c>
      <c r="C6" s="4">
        <v>3.0</v>
      </c>
      <c r="D6" s="4">
        <v>12.0</v>
      </c>
      <c r="E6" s="4">
        <v>176.0</v>
      </c>
      <c r="F6" s="3"/>
      <c r="G6" s="3"/>
      <c r="H6" s="3"/>
      <c r="I6" s="3"/>
      <c r="J6" s="3"/>
      <c r="K6" s="3"/>
      <c r="L6" s="3"/>
      <c r="M6" s="5" t="s">
        <v>5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>
        <v>6.0</v>
      </c>
      <c r="B7" s="4">
        <v>15.0</v>
      </c>
      <c r="C7" s="4">
        <v>2.0</v>
      </c>
      <c r="D7" s="4">
        <v>9.0</v>
      </c>
      <c r="E7" s="4">
        <v>168.0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>
        <v>7.0</v>
      </c>
      <c r="B8" s="4">
        <v>13.0</v>
      </c>
      <c r="C8" s="4">
        <v>6.0</v>
      </c>
      <c r="D8" s="4">
        <v>10.0</v>
      </c>
      <c r="E8" s="4">
        <v>173.0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>
        <v>8.0</v>
      </c>
      <c r="B9" s="4">
        <v>11.0</v>
      </c>
      <c r="C9" s="4">
        <v>5.0</v>
      </c>
      <c r="D9" s="4">
        <v>13.0</v>
      </c>
      <c r="E9" s="4">
        <v>145.0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>
        <v>9.0</v>
      </c>
      <c r="B10" s="4">
        <v>15.0</v>
      </c>
      <c r="C10" s="4">
        <v>4.0</v>
      </c>
      <c r="D10" s="4">
        <v>10.0</v>
      </c>
      <c r="E10" s="4">
        <v>175.0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>
        <v>10.0</v>
      </c>
      <c r="B11" s="4">
        <v>13.0</v>
      </c>
      <c r="C11" s="4">
        <v>6.0</v>
      </c>
      <c r="D11" s="4">
        <v>11.0</v>
      </c>
      <c r="E11" s="4">
        <v>157.0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4">
        <v>11.0</v>
      </c>
      <c r="B12" s="4">
        <v>12.0</v>
      </c>
      <c r="C12" s="4">
        <v>5.0</v>
      </c>
      <c r="D12" s="4">
        <v>14.0</v>
      </c>
      <c r="E12" s="4">
        <v>142.0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4">
        <v>12.0</v>
      </c>
      <c r="B13" s="4">
        <v>15.0</v>
      </c>
      <c r="C13" s="4">
        <v>3.0</v>
      </c>
      <c r="D13" s="4">
        <v>14.0</v>
      </c>
      <c r="E13" s="4">
        <v>151.0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4">
        <v>13.0</v>
      </c>
      <c r="B14" s="4">
        <v>13.0</v>
      </c>
      <c r="C14" s="4">
        <v>2.0</v>
      </c>
      <c r="D14" s="4">
        <v>8.0</v>
      </c>
      <c r="E14" s="4">
        <v>148.0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4">
        <v>14.0</v>
      </c>
      <c r="B15" s="4">
        <v>16.0</v>
      </c>
      <c r="C15" s="4">
        <v>5.0</v>
      </c>
      <c r="D15" s="4">
        <v>11.0</v>
      </c>
      <c r="E15" s="4">
        <v>186.0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4">
        <v>15.0</v>
      </c>
      <c r="B16" s="4">
        <v>17.0</v>
      </c>
      <c r="C16" s="4">
        <v>5.0</v>
      </c>
      <c r="D16" s="4">
        <v>10.0</v>
      </c>
      <c r="E16" s="4">
        <v>201.0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4">
        <v>16.0</v>
      </c>
      <c r="B17" s="4">
        <v>15.0</v>
      </c>
      <c r="C17" s="4">
        <v>4.0</v>
      </c>
      <c r="D17" s="4">
        <v>13.0</v>
      </c>
      <c r="E17" s="4">
        <v>169.0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4">
        <v>17.0</v>
      </c>
      <c r="B18" s="4">
        <v>11.0</v>
      </c>
      <c r="C18" s="4">
        <v>5.0</v>
      </c>
      <c r="D18" s="4">
        <v>12.0</v>
      </c>
      <c r="E18" s="4">
        <v>160.0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4">
        <v>18.0</v>
      </c>
      <c r="B19" s="4">
        <v>14.0</v>
      </c>
      <c r="C19" s="4">
        <v>4.0</v>
      </c>
      <c r="D19" s="4">
        <v>12.0</v>
      </c>
      <c r="E19" s="4">
        <v>151.0</v>
      </c>
      <c r="F19" s="3"/>
      <c r="G19" s="3"/>
      <c r="H19" s="3"/>
      <c r="I19" s="3"/>
      <c r="J19" s="3"/>
      <c r="K19" s="3"/>
      <c r="L19" s="3"/>
      <c r="M19" s="6"/>
      <c r="P19" s="3"/>
      <c r="Q19" s="3"/>
      <c r="R19" s="3"/>
      <c r="S19" s="3"/>
      <c r="T19" s="3"/>
      <c r="U19" s="3"/>
      <c r="V19" s="3"/>
      <c r="W19" s="3"/>
    </row>
    <row r="20">
      <c r="A20" s="4">
        <v>19.0</v>
      </c>
      <c r="B20" s="4">
        <v>13.0</v>
      </c>
      <c r="C20" s="4">
        <v>2.0</v>
      </c>
      <c r="D20" s="4">
        <v>14.0</v>
      </c>
      <c r="E20" s="4">
        <v>129.0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4">
        <v>20.0</v>
      </c>
      <c r="B21" s="4">
        <v>15.0</v>
      </c>
      <c r="C21" s="4">
        <v>3.0</v>
      </c>
      <c r="D21" s="4">
        <v>11.0</v>
      </c>
      <c r="E21" s="4">
        <v>163.0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8"/>
      <c r="Q21" s="3"/>
      <c r="R21" s="3"/>
      <c r="S21" s="3"/>
      <c r="T21" s="3"/>
      <c r="U21" s="3"/>
      <c r="V21" s="3"/>
      <c r="W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8"/>
      <c r="Q22" s="3"/>
      <c r="R22" s="3"/>
      <c r="S22" s="3"/>
      <c r="T22" s="3"/>
      <c r="U22" s="3"/>
      <c r="V22" s="3"/>
      <c r="W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8"/>
      <c r="Q23" s="3"/>
      <c r="R23" s="3"/>
      <c r="S23" s="3"/>
      <c r="T23" s="3"/>
      <c r="U23" s="3"/>
      <c r="V23" s="3"/>
      <c r="W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6"/>
      <c r="O24" s="3"/>
      <c r="P24" s="3"/>
      <c r="Q24" s="3"/>
      <c r="R24" s="3"/>
      <c r="S24" s="3"/>
      <c r="T24" s="3"/>
      <c r="U24" s="3"/>
      <c r="V24" s="3"/>
      <c r="W24" s="3"/>
    </row>
    <row r="25">
      <c r="A25" s="3" t="s">
        <v>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9" t="s">
        <v>7</v>
      </c>
      <c r="B27" s="1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 t="s">
        <v>8</v>
      </c>
      <c r="B28" s="11">
        <v>0.9136766048232766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 t="s">
        <v>9</v>
      </c>
      <c r="B29" s="11">
        <v>0.83480493820139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 t="s">
        <v>10</v>
      </c>
      <c r="B30" s="11">
        <v>0.8038308641141507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3" t="s">
        <v>11</v>
      </c>
      <c r="B31" s="11">
        <v>7.8608372053792355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12" t="s">
        <v>12</v>
      </c>
      <c r="B32" s="13">
        <v>20.0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 t="s">
        <v>13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10"/>
      <c r="B35" s="9" t="s">
        <v>14</v>
      </c>
      <c r="C35" s="9" t="s">
        <v>15</v>
      </c>
      <c r="D35" s="9" t="s">
        <v>16</v>
      </c>
      <c r="E35" s="9" t="s">
        <v>17</v>
      </c>
      <c r="F35" s="9" t="s">
        <v>18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 t="s">
        <v>19</v>
      </c>
      <c r="B36" s="11">
        <v>3.0</v>
      </c>
      <c r="C36" s="11">
        <v>4996.26581488841</v>
      </c>
      <c r="D36" s="11">
        <v>1665.4219382961367</v>
      </c>
      <c r="E36" s="11">
        <v>26.951731820946062</v>
      </c>
      <c r="F36" s="11">
        <v>1.7100917575341157E-6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 t="s">
        <v>20</v>
      </c>
      <c r="B37" s="11">
        <v>16.0</v>
      </c>
      <c r="C37" s="11">
        <v>988.6841851115908</v>
      </c>
      <c r="D37" s="11">
        <v>61.79276156947442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12" t="s">
        <v>21</v>
      </c>
      <c r="B38" s="13">
        <v>19.0</v>
      </c>
      <c r="C38" s="13">
        <v>5984.950000000001</v>
      </c>
      <c r="D38" s="12"/>
      <c r="E38" s="12"/>
      <c r="F38" s="1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10"/>
      <c r="B40" s="9" t="s">
        <v>22</v>
      </c>
      <c r="C40" s="9" t="s">
        <v>11</v>
      </c>
      <c r="D40" s="9" t="s">
        <v>23</v>
      </c>
      <c r="E40" s="9" t="s">
        <v>24</v>
      </c>
      <c r="F40" s="9" t="s">
        <v>25</v>
      </c>
      <c r="G40" s="9" t="s">
        <v>26</v>
      </c>
      <c r="H40" s="9" t="s">
        <v>25</v>
      </c>
      <c r="I40" s="9" t="s">
        <v>26</v>
      </c>
      <c r="J40" s="4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 t="s">
        <v>27</v>
      </c>
      <c r="B41" s="11">
        <v>59.0740478870448</v>
      </c>
      <c r="C41" s="11">
        <v>18.362040046711826</v>
      </c>
      <c r="D41" s="11">
        <v>3.21718326159644</v>
      </c>
      <c r="E41" s="11">
        <v>0.005379838165951633</v>
      </c>
      <c r="F41" s="11">
        <v>20.14826214500041</v>
      </c>
      <c r="G41" s="11">
        <v>97.99983362908918</v>
      </c>
      <c r="H41" s="11">
        <v>20.14826214500041</v>
      </c>
      <c r="I41" s="11">
        <v>97.99983362908918</v>
      </c>
      <c r="J41" s="4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 t="s">
        <v>1</v>
      </c>
      <c r="B42" s="11">
        <v>7.613297276503889</v>
      </c>
      <c r="C42" s="11">
        <v>0.999469984881918</v>
      </c>
      <c r="D42" s="11">
        <v>7.617334578990243</v>
      </c>
      <c r="E42" s="11">
        <v>1.0411883255461376E-6</v>
      </c>
      <c r="F42" s="11">
        <v>5.494515573155802</v>
      </c>
      <c r="G42" s="11">
        <v>9.732078979851977</v>
      </c>
      <c r="H42" s="11">
        <v>5.494515573155802</v>
      </c>
      <c r="I42" s="11">
        <v>9.732078979851977</v>
      </c>
      <c r="J42" s="4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 t="s">
        <v>2</v>
      </c>
      <c r="B43" s="11">
        <v>6.0904928895444925</v>
      </c>
      <c r="C43" s="11">
        <v>1.3198222734306282</v>
      </c>
      <c r="D43" s="11">
        <v>4.614631084921312</v>
      </c>
      <c r="E43" s="11">
        <v>2.8699076945559835E-4</v>
      </c>
      <c r="F43" s="11">
        <v>3.2925946765766727</v>
      </c>
      <c r="G43" s="11">
        <v>8.888391102512312</v>
      </c>
      <c r="H43" s="11">
        <v>3.2925946765766727</v>
      </c>
      <c r="I43" s="11">
        <v>8.888391102512312</v>
      </c>
      <c r="J43" s="4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2" t="s">
        <v>3</v>
      </c>
      <c r="B44" s="13">
        <v>-2.578277317924517</v>
      </c>
      <c r="C44" s="13">
        <v>0.9782889184230881</v>
      </c>
      <c r="D44" s="13">
        <v>-2.6354968040325586</v>
      </c>
      <c r="E44" s="13">
        <v>0.017993418106717608</v>
      </c>
      <c r="F44" s="13">
        <v>-4.652157166540398</v>
      </c>
      <c r="G44" s="13">
        <v>-0.5043974693086359</v>
      </c>
      <c r="H44" s="13">
        <v>-4.652157166540398</v>
      </c>
      <c r="I44" s="13">
        <v>-0.5043974693086359</v>
      </c>
      <c r="J44" s="4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4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4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4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 t="s">
        <v>28</v>
      </c>
      <c r="B48" s="3"/>
      <c r="C48" s="3"/>
      <c r="D48" s="3"/>
      <c r="E48" s="3"/>
      <c r="F48" s="3"/>
      <c r="G48" s="3"/>
      <c r="H48" s="3"/>
      <c r="I48" s="3"/>
      <c r="J48" s="4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4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9" t="s">
        <v>29</v>
      </c>
      <c r="B50" s="9" t="s">
        <v>30</v>
      </c>
      <c r="C50" s="9" t="s">
        <v>31</v>
      </c>
      <c r="D50" s="3"/>
      <c r="E50" s="3"/>
      <c r="F50" s="3"/>
      <c r="G50" s="3"/>
      <c r="H50" s="3"/>
      <c r="I50" s="3"/>
      <c r="J50" s="4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11">
        <v>1.0</v>
      </c>
      <c r="B51" s="11">
        <v>141.98838244078433</v>
      </c>
      <c r="C51" s="11">
        <v>-2.988382440784335</v>
      </c>
      <c r="D51" s="3"/>
      <c r="E51" s="3"/>
      <c r="F51" s="3"/>
      <c r="G51" s="3"/>
      <c r="H51" s="3"/>
      <c r="I51" s="3"/>
      <c r="J51" s="4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11">
        <v>2.0</v>
      </c>
      <c r="B52" s="11">
        <v>188.01323822023917</v>
      </c>
      <c r="C52" s="11">
        <v>-6.013238220239174</v>
      </c>
      <c r="D52" s="3"/>
      <c r="E52" s="3"/>
      <c r="F52" s="3"/>
      <c r="G52" s="3"/>
      <c r="H52" s="3"/>
      <c r="I52" s="3"/>
      <c r="J52" s="4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11">
        <v>3.0</v>
      </c>
      <c r="B53" s="11">
        <v>173.84211659819653</v>
      </c>
      <c r="C53" s="11">
        <v>-9.842116598196526</v>
      </c>
      <c r="D53" s="3"/>
      <c r="E53" s="3"/>
      <c r="F53" s="3"/>
      <c r="G53" s="3"/>
      <c r="H53" s="3"/>
      <c r="I53" s="3"/>
      <c r="J53" s="4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11">
        <v>4.0</v>
      </c>
      <c r="B54" s="11">
        <v>159.2043881784527</v>
      </c>
      <c r="C54" s="11">
        <v>-9.204388178452689</v>
      </c>
      <c r="D54" s="3"/>
      <c r="E54" s="3"/>
      <c r="F54" s="3"/>
      <c r="G54" s="3"/>
      <c r="H54" s="3"/>
      <c r="I54" s="3"/>
      <c r="J54" s="4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11">
        <v>5.0</v>
      </c>
      <c r="B55" s="11">
        <v>168.2189551646463</v>
      </c>
      <c r="C55" s="11">
        <v>7.781044835353697</v>
      </c>
      <c r="D55" s="3"/>
      <c r="E55" s="3"/>
      <c r="F55" s="3"/>
      <c r="G55" s="3"/>
      <c r="H55" s="3"/>
      <c r="I55" s="3"/>
      <c r="J55" s="43"/>
      <c r="K55" s="44"/>
      <c r="N55" s="43"/>
      <c r="O55" s="43"/>
      <c r="P55" s="43"/>
      <c r="Q55" s="43"/>
      <c r="R55" s="3"/>
      <c r="S55" s="3"/>
      <c r="T55" s="3"/>
      <c r="U55" s="3"/>
      <c r="V55" s="3"/>
      <c r="W55" s="3"/>
    </row>
    <row r="56">
      <c r="A56" s="11">
        <v>6.0</v>
      </c>
      <c r="B56" s="11">
        <v>162.24999695237148</v>
      </c>
      <c r="C56" s="11">
        <v>5.750003047628525</v>
      </c>
      <c r="D56" s="3"/>
      <c r="E56" s="3"/>
      <c r="F56" s="3"/>
      <c r="G56" s="3"/>
      <c r="H56" s="3"/>
      <c r="I56" s="3"/>
      <c r="J56" s="43"/>
      <c r="K56" s="43"/>
      <c r="L56" s="43"/>
      <c r="M56" s="43"/>
      <c r="N56" s="43"/>
      <c r="O56" s="43"/>
      <c r="P56" s="43"/>
      <c r="Q56" s="43"/>
      <c r="R56" s="3"/>
      <c r="S56" s="3"/>
      <c r="T56" s="3"/>
      <c r="U56" s="3"/>
      <c r="V56" s="3"/>
      <c r="W56" s="3"/>
    </row>
    <row r="57">
      <c r="A57" s="11">
        <v>7.0</v>
      </c>
      <c r="B57" s="11">
        <v>168.80709663961716</v>
      </c>
      <c r="C57" s="11">
        <v>4.192903360382843</v>
      </c>
      <c r="D57" s="3"/>
      <c r="E57" s="3"/>
      <c r="F57" s="3"/>
      <c r="G57" s="3"/>
      <c r="H57" s="3"/>
      <c r="I57" s="3"/>
      <c r="J57" s="43"/>
      <c r="K57" s="43"/>
      <c r="L57" s="45"/>
      <c r="M57" s="43"/>
      <c r="N57" s="45"/>
      <c r="O57" s="43"/>
      <c r="P57" s="43"/>
      <c r="Q57" s="43"/>
      <c r="R57" s="3"/>
      <c r="S57" s="3"/>
      <c r="T57" s="3"/>
      <c r="U57" s="3"/>
      <c r="V57" s="3"/>
      <c r="W57" s="3"/>
    </row>
    <row r="58">
      <c r="A58" s="11">
        <v>8.0</v>
      </c>
      <c r="B58" s="11">
        <v>139.75517724329134</v>
      </c>
      <c r="C58" s="11">
        <v>5.244822756708658</v>
      </c>
      <c r="D58" s="3"/>
      <c r="E58" s="3"/>
      <c r="F58" s="3"/>
      <c r="G58" s="3"/>
      <c r="H58" s="3"/>
      <c r="I58" s="3"/>
      <c r="J58" s="43"/>
      <c r="K58" s="43"/>
      <c r="L58" s="45"/>
      <c r="M58" s="43"/>
      <c r="N58" s="45"/>
      <c r="O58" s="43"/>
      <c r="P58" s="43"/>
      <c r="Q58" s="43"/>
      <c r="R58" s="3"/>
      <c r="S58" s="3"/>
      <c r="T58" s="3"/>
      <c r="U58" s="3"/>
      <c r="V58" s="3"/>
      <c r="W58" s="3"/>
    </row>
    <row r="59">
      <c r="A59" s="11">
        <v>9.0</v>
      </c>
      <c r="B59" s="11">
        <v>171.85270541353594</v>
      </c>
      <c r="C59" s="11">
        <v>3.1472945864640565</v>
      </c>
      <c r="D59" s="3"/>
      <c r="E59" s="3"/>
      <c r="F59" s="3"/>
      <c r="G59" s="3"/>
      <c r="H59" s="3"/>
      <c r="I59" s="3"/>
      <c r="J59" s="43"/>
      <c r="K59" s="43"/>
      <c r="L59" s="45"/>
      <c r="M59" s="43"/>
      <c r="N59" s="45"/>
      <c r="O59" s="43"/>
      <c r="P59" s="43"/>
      <c r="Q59" s="43"/>
      <c r="R59" s="3"/>
      <c r="S59" s="3"/>
      <c r="T59" s="3"/>
      <c r="U59" s="3"/>
      <c r="V59" s="3"/>
      <c r="W59" s="3"/>
    </row>
    <row r="60">
      <c r="A60" s="11">
        <v>10.0</v>
      </c>
      <c r="B60" s="11">
        <v>166.22881932169264</v>
      </c>
      <c r="C60" s="11">
        <v>-9.22881932169264</v>
      </c>
      <c r="D60" s="3"/>
      <c r="E60" s="3"/>
      <c r="F60" s="3"/>
      <c r="G60" s="3"/>
      <c r="H60" s="3"/>
      <c r="I60" s="3"/>
      <c r="J60" s="43"/>
      <c r="K60" s="44"/>
      <c r="M60" s="43"/>
      <c r="N60" s="43"/>
      <c r="O60" s="43"/>
      <c r="P60" s="43"/>
      <c r="Q60" s="43"/>
      <c r="R60" s="3"/>
      <c r="S60" s="3"/>
      <c r="T60" s="3"/>
      <c r="U60" s="3"/>
      <c r="V60" s="3"/>
      <c r="W60" s="3"/>
    </row>
    <row r="61">
      <c r="A61" s="11">
        <v>11.0</v>
      </c>
      <c r="B61" s="11">
        <v>144.7901972018707</v>
      </c>
      <c r="C61" s="11">
        <v>-2.7901972018707113</v>
      </c>
      <c r="D61" s="3"/>
      <c r="E61" s="3"/>
      <c r="F61" s="3"/>
      <c r="G61" s="3"/>
      <c r="H61" s="3"/>
      <c r="I61" s="3"/>
      <c r="J61" s="43"/>
      <c r="K61" s="43"/>
      <c r="L61" s="43"/>
      <c r="M61" s="43"/>
      <c r="N61" s="43"/>
      <c r="O61" s="43"/>
      <c r="P61" s="43"/>
      <c r="Q61" s="43"/>
      <c r="R61" s="3"/>
      <c r="S61" s="3"/>
      <c r="T61" s="3"/>
      <c r="U61" s="3"/>
      <c r="V61" s="3"/>
      <c r="W61" s="3"/>
    </row>
    <row r="62">
      <c r="A62" s="11">
        <v>12.0</v>
      </c>
      <c r="B62" s="11">
        <v>155.44910325229338</v>
      </c>
      <c r="C62" s="11">
        <v>-4.4491032522933835</v>
      </c>
      <c r="D62" s="3"/>
      <c r="E62" s="3"/>
      <c r="F62" s="3"/>
      <c r="G62" s="3"/>
      <c r="H62" s="3"/>
      <c r="I62" s="3"/>
      <c r="J62" s="3"/>
      <c r="K62" s="43"/>
      <c r="L62" s="43"/>
      <c r="M62" s="43"/>
      <c r="N62" s="43"/>
      <c r="O62" s="43"/>
      <c r="P62" s="43"/>
      <c r="Q62" s="43"/>
      <c r="R62" s="3"/>
      <c r="S62" s="3"/>
      <c r="T62" s="3"/>
      <c r="U62" s="3"/>
      <c r="V62" s="3"/>
      <c r="W62" s="3"/>
    </row>
    <row r="63">
      <c r="A63" s="11">
        <v>13.0</v>
      </c>
      <c r="B63" s="11">
        <v>149.60167971728822</v>
      </c>
      <c r="C63" s="11">
        <v>-1.6016797172882207</v>
      </c>
      <c r="D63" s="3"/>
      <c r="E63" s="3"/>
      <c r="F63" s="3"/>
      <c r="G63" s="3"/>
      <c r="H63" s="3"/>
      <c r="I63" s="3"/>
      <c r="J63" s="3"/>
      <c r="K63" s="45"/>
      <c r="L63" s="45"/>
      <c r="M63" s="45"/>
      <c r="N63" s="45"/>
      <c r="O63" s="45"/>
      <c r="P63" s="45"/>
      <c r="Q63" s="43"/>
      <c r="R63" s="3"/>
      <c r="S63" s="3"/>
      <c r="T63" s="3"/>
      <c r="U63" s="3"/>
      <c r="V63" s="3"/>
      <c r="W63" s="3"/>
    </row>
    <row r="64">
      <c r="A64" s="11">
        <v>14.0</v>
      </c>
      <c r="B64" s="11">
        <v>182.9782182616598</v>
      </c>
      <c r="C64" s="11">
        <v>3.021781738340195</v>
      </c>
      <c r="D64" s="3"/>
      <c r="E64" s="3"/>
      <c r="F64" s="3"/>
      <c r="G64" s="3"/>
      <c r="H64" s="3"/>
      <c r="I64" s="3"/>
      <c r="J64" s="3"/>
      <c r="K64" s="45"/>
      <c r="L64" s="45"/>
      <c r="M64" s="45"/>
      <c r="N64" s="45"/>
      <c r="O64" s="45"/>
      <c r="P64" s="45"/>
      <c r="Q64" s="43"/>
      <c r="R64" s="3"/>
      <c r="S64" s="3"/>
      <c r="T64" s="3"/>
      <c r="U64" s="3"/>
      <c r="V64" s="3"/>
      <c r="W64" s="3"/>
    </row>
    <row r="65">
      <c r="A65" s="11">
        <v>15.0</v>
      </c>
      <c r="B65" s="11">
        <v>193.1697928560882</v>
      </c>
      <c r="C65" s="11">
        <v>7.830207143911792</v>
      </c>
      <c r="D65" s="3"/>
      <c r="E65" s="3"/>
      <c r="F65" s="3"/>
      <c r="G65" s="3"/>
      <c r="H65" s="3"/>
      <c r="I65" s="3"/>
      <c r="J65" s="3"/>
      <c r="K65" s="45"/>
      <c r="L65" s="45"/>
      <c r="M65" s="45"/>
      <c r="N65" s="45"/>
      <c r="O65" s="45"/>
      <c r="P65" s="45"/>
      <c r="Q65" s="43"/>
      <c r="R65" s="3"/>
      <c r="S65" s="3"/>
      <c r="T65" s="3"/>
      <c r="U65" s="3"/>
      <c r="V65" s="3"/>
      <c r="W65" s="3"/>
    </row>
    <row r="66">
      <c r="A66" s="11">
        <v>16.0</v>
      </c>
      <c r="B66" s="11">
        <v>164.1178734597624</v>
      </c>
      <c r="C66" s="11">
        <v>4.882126540237607</v>
      </c>
      <c r="D66" s="3"/>
      <c r="E66" s="3"/>
      <c r="F66" s="3"/>
      <c r="G66" s="3"/>
      <c r="H66" s="3"/>
      <c r="I66" s="3"/>
      <c r="J66" s="3"/>
      <c r="K66" s="43"/>
      <c r="L66" s="43"/>
      <c r="M66" s="43"/>
      <c r="N66" s="43"/>
      <c r="O66" s="43"/>
      <c r="P66" s="43"/>
      <c r="Q66" s="43"/>
      <c r="R66" s="3"/>
      <c r="S66" s="3"/>
      <c r="T66" s="3"/>
      <c r="U66" s="3"/>
      <c r="V66" s="3"/>
      <c r="W66" s="3"/>
    </row>
    <row r="67">
      <c r="A67" s="11">
        <v>17.0</v>
      </c>
      <c r="B67" s="11">
        <v>142.33345456121586</v>
      </c>
      <c r="C67" s="11">
        <v>17.66654543878414</v>
      </c>
      <c r="D67" s="3"/>
      <c r="E67" s="3"/>
      <c r="F67" s="3"/>
      <c r="G67" s="3"/>
      <c r="H67" s="3"/>
      <c r="I67" s="3"/>
      <c r="J67" s="3"/>
      <c r="K67" s="43"/>
      <c r="L67" s="43"/>
      <c r="M67" s="43"/>
      <c r="N67" s="43"/>
      <c r="O67" s="43"/>
      <c r="P67" s="43"/>
      <c r="Q67" s="43"/>
      <c r="R67" s="3"/>
      <c r="S67" s="3"/>
      <c r="T67" s="3"/>
      <c r="U67" s="3"/>
      <c r="V67" s="3"/>
      <c r="W67" s="3"/>
    </row>
    <row r="68">
      <c r="A68" s="11">
        <v>18.0</v>
      </c>
      <c r="B68" s="11">
        <v>159.08285350118302</v>
      </c>
      <c r="C68" s="11">
        <v>-8.082853501183024</v>
      </c>
      <c r="D68" s="3"/>
      <c r="E68" s="3"/>
      <c r="F68" s="3"/>
      <c r="G68" s="3"/>
      <c r="H68" s="3"/>
      <c r="I68" s="3"/>
      <c r="J68" s="3"/>
      <c r="K68" s="45"/>
      <c r="L68" s="43"/>
      <c r="M68" s="43"/>
      <c r="N68" s="43"/>
      <c r="O68" s="43"/>
      <c r="P68" s="43"/>
      <c r="Q68" s="43"/>
      <c r="R68" s="3"/>
      <c r="S68" s="3"/>
      <c r="T68" s="3"/>
      <c r="U68" s="3"/>
      <c r="V68" s="3"/>
      <c r="W68" s="3"/>
    </row>
    <row r="69">
      <c r="A69" s="11">
        <v>19.0</v>
      </c>
      <c r="B69" s="11">
        <v>134.13201580974112</v>
      </c>
      <c r="C69" s="11">
        <v>-5.1320158097411195</v>
      </c>
      <c r="D69" s="3"/>
      <c r="E69" s="3"/>
      <c r="F69" s="3"/>
      <c r="G69" s="3"/>
      <c r="H69" s="3"/>
      <c r="I69" s="3"/>
      <c r="J69" s="3"/>
      <c r="K69" s="43"/>
      <c r="L69" s="43"/>
      <c r="M69" s="43"/>
      <c r="N69" s="43"/>
      <c r="O69" s="43"/>
      <c r="P69" s="43"/>
      <c r="Q69" s="43"/>
      <c r="R69" s="3"/>
      <c r="S69" s="3"/>
      <c r="T69" s="3"/>
      <c r="U69" s="3"/>
      <c r="V69" s="3"/>
      <c r="W69" s="3"/>
    </row>
    <row r="70">
      <c r="A70" s="13">
        <v>20.0</v>
      </c>
      <c r="B70" s="13">
        <v>163.18393520606693</v>
      </c>
      <c r="C70" s="13">
        <v>-0.18393520606693414</v>
      </c>
      <c r="D70" s="3"/>
      <c r="E70" s="3"/>
      <c r="F70" s="3"/>
      <c r="G70" s="3"/>
      <c r="H70" s="3"/>
      <c r="I70" s="3"/>
      <c r="J70" s="3"/>
      <c r="K70" s="43"/>
      <c r="L70" s="43"/>
      <c r="M70" s="43"/>
      <c r="N70" s="43"/>
      <c r="O70" s="43"/>
      <c r="P70" s="43"/>
      <c r="Q70" s="4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45"/>
      <c r="L71" s="43"/>
      <c r="M71" s="45"/>
      <c r="N71" s="43"/>
      <c r="O71" s="43"/>
      <c r="P71" s="43"/>
      <c r="Q71" s="43"/>
      <c r="R71" s="3"/>
      <c r="S71" s="3"/>
      <c r="T71" s="3"/>
      <c r="U71" s="3"/>
      <c r="V71" s="3"/>
      <c r="W71" s="3"/>
    </row>
    <row r="72">
      <c r="K72" s="45"/>
      <c r="L72" s="43"/>
      <c r="M72" s="45"/>
      <c r="N72" s="43"/>
      <c r="O72" s="43"/>
      <c r="P72" s="43"/>
      <c r="Q72" s="43"/>
      <c r="R72" s="3"/>
      <c r="S72" s="3"/>
      <c r="T72" s="3"/>
      <c r="U72" s="3"/>
      <c r="V72" s="3"/>
      <c r="W72" s="3"/>
    </row>
    <row r="73">
      <c r="K73" s="45"/>
      <c r="L73" s="43"/>
      <c r="M73" s="45"/>
      <c r="N73" s="43"/>
      <c r="O73" s="43"/>
      <c r="P73" s="43"/>
      <c r="Q73" s="43"/>
      <c r="R73" s="3"/>
      <c r="S73" s="3"/>
      <c r="T73" s="3"/>
      <c r="U73" s="3"/>
      <c r="V73" s="3"/>
      <c r="W73" s="3"/>
    </row>
    <row r="74">
      <c r="A74" s="17" t="s">
        <v>32</v>
      </c>
      <c r="B74" s="17" t="s">
        <v>1</v>
      </c>
      <c r="C74" s="17" t="s">
        <v>2</v>
      </c>
      <c r="D74" s="17" t="s">
        <v>3</v>
      </c>
      <c r="E74" s="17" t="s">
        <v>4</v>
      </c>
      <c r="F74" s="18" t="s">
        <v>33</v>
      </c>
      <c r="G74" s="19" t="s">
        <v>62</v>
      </c>
      <c r="H74" s="19" t="s">
        <v>63</v>
      </c>
      <c r="K74" s="45"/>
      <c r="L74" s="43"/>
      <c r="M74" s="43"/>
      <c r="N74" s="43"/>
      <c r="O74" s="43"/>
      <c r="P74" s="43"/>
      <c r="Q74" s="43"/>
      <c r="R74" s="3"/>
      <c r="S74" s="3"/>
      <c r="T74" s="3"/>
      <c r="U74" s="3"/>
      <c r="V74" s="3"/>
      <c r="W74" s="3"/>
    </row>
    <row r="75">
      <c r="A75" s="21">
        <v>1.0</v>
      </c>
      <c r="B75" s="21">
        <v>12.0</v>
      </c>
      <c r="C75" s="21">
        <v>2.0</v>
      </c>
      <c r="D75" s="21">
        <v>8.0</v>
      </c>
      <c r="E75" s="21">
        <v>139.0</v>
      </c>
      <c r="F75" s="22">
        <f t="shared" ref="F75:F94" si="1">$B$41 + $B$42 * B75 + $B$43 * C75 + $B$44 * D75</f>
        <v>141.9883824</v>
      </c>
      <c r="G75" s="23">
        <f t="shared" ref="G75:G94" si="2">E75-F75</f>
        <v>-2.988382441</v>
      </c>
      <c r="H75" s="23">
        <f t="shared" ref="H75:H94" si="3">G75^2</f>
        <v>8.930429612</v>
      </c>
      <c r="K75" s="43"/>
      <c r="L75" s="43"/>
      <c r="M75" s="43"/>
      <c r="N75" s="43"/>
      <c r="O75" s="43"/>
      <c r="P75" s="43"/>
      <c r="Q75" s="43"/>
      <c r="R75" s="3"/>
      <c r="S75" s="3"/>
      <c r="T75" s="3"/>
      <c r="U75" s="3"/>
      <c r="V75" s="3"/>
      <c r="W75" s="3"/>
    </row>
    <row r="76">
      <c r="A76" s="21">
        <v>2.0</v>
      </c>
      <c r="B76" s="21">
        <v>17.0</v>
      </c>
      <c r="C76" s="21">
        <v>5.0</v>
      </c>
      <c r="D76" s="21">
        <v>12.0</v>
      </c>
      <c r="E76" s="21">
        <v>182.0</v>
      </c>
      <c r="F76" s="22">
        <f t="shared" si="1"/>
        <v>188.0132382</v>
      </c>
      <c r="G76" s="23">
        <f t="shared" si="2"/>
        <v>-6.01323822</v>
      </c>
      <c r="H76" s="23">
        <f t="shared" si="3"/>
        <v>36.15903389</v>
      </c>
      <c r="K76" s="43"/>
      <c r="L76" s="43"/>
      <c r="M76" s="43"/>
      <c r="N76" s="43"/>
      <c r="O76" s="43"/>
      <c r="P76" s="43"/>
      <c r="Q76" s="43"/>
      <c r="R76" s="3"/>
      <c r="S76" s="3"/>
      <c r="T76" s="3"/>
      <c r="U76" s="3"/>
      <c r="V76" s="3"/>
      <c r="W76" s="3"/>
    </row>
    <row r="77">
      <c r="A77" s="21">
        <v>3.0</v>
      </c>
      <c r="B77" s="21">
        <v>14.0</v>
      </c>
      <c r="C77" s="21">
        <v>6.0</v>
      </c>
      <c r="D77" s="21">
        <v>11.0</v>
      </c>
      <c r="E77" s="21">
        <v>164.0</v>
      </c>
      <c r="F77" s="22">
        <f t="shared" si="1"/>
        <v>173.8421166</v>
      </c>
      <c r="G77" s="23">
        <f t="shared" si="2"/>
        <v>-9.842116598</v>
      </c>
      <c r="H77" s="23">
        <f t="shared" si="3"/>
        <v>96.86725913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21">
        <v>4.0</v>
      </c>
      <c r="B78" s="21">
        <v>13.0</v>
      </c>
      <c r="C78" s="21">
        <v>4.0</v>
      </c>
      <c r="D78" s="21">
        <v>9.0</v>
      </c>
      <c r="E78" s="21">
        <v>150.0</v>
      </c>
      <c r="F78" s="22">
        <f t="shared" si="1"/>
        <v>159.2043882</v>
      </c>
      <c r="G78" s="23">
        <f t="shared" si="2"/>
        <v>-9.204388178</v>
      </c>
      <c r="H78" s="23">
        <f t="shared" si="3"/>
        <v>84.72076174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21"/>
      <c r="B79" s="21">
        <v>16.0</v>
      </c>
      <c r="C79" s="21">
        <v>3.0</v>
      </c>
      <c r="D79" s="21">
        <v>12.0</v>
      </c>
      <c r="E79" s="21">
        <v>176.0</v>
      </c>
      <c r="F79" s="22">
        <f t="shared" si="1"/>
        <v>168.2189552</v>
      </c>
      <c r="G79" s="23">
        <f t="shared" si="2"/>
        <v>7.781044835</v>
      </c>
      <c r="H79" s="23">
        <f t="shared" si="3"/>
        <v>60.54465873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21">
        <v>6.0</v>
      </c>
      <c r="B80" s="21">
        <v>15.0</v>
      </c>
      <c r="C80" s="21">
        <v>2.0</v>
      </c>
      <c r="D80" s="21">
        <v>9.0</v>
      </c>
      <c r="E80" s="21">
        <v>168.0</v>
      </c>
      <c r="F80" s="22">
        <f t="shared" si="1"/>
        <v>162.249997</v>
      </c>
      <c r="G80" s="23">
        <f t="shared" si="2"/>
        <v>5.750003048</v>
      </c>
      <c r="H80" s="23">
        <f t="shared" si="3"/>
        <v>33.06253505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21">
        <v>7.0</v>
      </c>
      <c r="B81" s="21">
        <v>13.0</v>
      </c>
      <c r="C81" s="21">
        <v>6.0</v>
      </c>
      <c r="D81" s="21">
        <v>10.0</v>
      </c>
      <c r="E81" s="21">
        <v>173.0</v>
      </c>
      <c r="F81" s="22">
        <f t="shared" si="1"/>
        <v>168.8070966</v>
      </c>
      <c r="G81" s="23">
        <f t="shared" si="2"/>
        <v>4.19290336</v>
      </c>
      <c r="H81" s="23">
        <f t="shared" si="3"/>
        <v>17.58043859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21">
        <v>8.0</v>
      </c>
      <c r="B82" s="21">
        <v>11.0</v>
      </c>
      <c r="C82" s="21">
        <v>5.0</v>
      </c>
      <c r="D82" s="21">
        <v>13.0</v>
      </c>
      <c r="E82" s="21">
        <v>145.0</v>
      </c>
      <c r="F82" s="22">
        <f t="shared" si="1"/>
        <v>139.7551772</v>
      </c>
      <c r="G82" s="23">
        <f t="shared" si="2"/>
        <v>5.244822757</v>
      </c>
      <c r="H82" s="23">
        <f t="shared" si="3"/>
        <v>27.50816575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21">
        <v>9.0</v>
      </c>
      <c r="B83" s="21">
        <v>15.0</v>
      </c>
      <c r="C83" s="21">
        <v>4.0</v>
      </c>
      <c r="D83" s="21">
        <v>10.0</v>
      </c>
      <c r="E83" s="21">
        <v>175.0</v>
      </c>
      <c r="F83" s="22">
        <f t="shared" si="1"/>
        <v>171.8527054</v>
      </c>
      <c r="G83" s="23">
        <f t="shared" si="2"/>
        <v>3.147294586</v>
      </c>
      <c r="H83" s="23">
        <f t="shared" si="3"/>
        <v>9.905463214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21">
        <v>10.0</v>
      </c>
      <c r="B84" s="21">
        <v>13.0</v>
      </c>
      <c r="C84" s="21">
        <v>6.0</v>
      </c>
      <c r="D84" s="21">
        <v>11.0</v>
      </c>
      <c r="E84" s="21">
        <v>157.0</v>
      </c>
      <c r="F84" s="22">
        <f t="shared" si="1"/>
        <v>166.2288193</v>
      </c>
      <c r="G84" s="23">
        <f t="shared" si="2"/>
        <v>-9.228819322</v>
      </c>
      <c r="H84" s="23">
        <f t="shared" si="3"/>
        <v>85.17110607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21">
        <v>11.0</v>
      </c>
      <c r="B85" s="21">
        <v>12.0</v>
      </c>
      <c r="C85" s="21">
        <v>5.0</v>
      </c>
      <c r="D85" s="21">
        <v>14.0</v>
      </c>
      <c r="E85" s="21">
        <v>142.0</v>
      </c>
      <c r="F85" s="22">
        <f t="shared" si="1"/>
        <v>144.7901972</v>
      </c>
      <c r="G85" s="23">
        <f t="shared" si="2"/>
        <v>-2.790197202</v>
      </c>
      <c r="H85" s="23">
        <f t="shared" si="3"/>
        <v>7.785200425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21">
        <v>12.0</v>
      </c>
      <c r="B86" s="21">
        <v>15.0</v>
      </c>
      <c r="C86" s="21">
        <v>3.0</v>
      </c>
      <c r="D86" s="21">
        <v>14.0</v>
      </c>
      <c r="E86" s="21">
        <v>151.0</v>
      </c>
      <c r="F86" s="22">
        <f t="shared" si="1"/>
        <v>155.4491033</v>
      </c>
      <c r="G86" s="23">
        <f t="shared" si="2"/>
        <v>-4.449103252</v>
      </c>
      <c r="H86" s="23">
        <f t="shared" si="3"/>
        <v>19.79451975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21">
        <v>13.0</v>
      </c>
      <c r="B87" s="21">
        <v>13.0</v>
      </c>
      <c r="C87" s="21">
        <v>2.0</v>
      </c>
      <c r="D87" s="21">
        <v>8.0</v>
      </c>
      <c r="E87" s="21">
        <v>148.0</v>
      </c>
      <c r="F87" s="22">
        <f t="shared" si="1"/>
        <v>149.6016797</v>
      </c>
      <c r="G87" s="23">
        <f t="shared" si="2"/>
        <v>-1.601679717</v>
      </c>
      <c r="H87" s="23">
        <f t="shared" si="3"/>
        <v>2.565377917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21">
        <v>14.0</v>
      </c>
      <c r="B88" s="21">
        <v>16.0</v>
      </c>
      <c r="C88" s="21">
        <v>5.0</v>
      </c>
      <c r="D88" s="21">
        <v>11.0</v>
      </c>
      <c r="E88" s="21">
        <v>186.0</v>
      </c>
      <c r="F88" s="22">
        <f t="shared" si="1"/>
        <v>182.9782183</v>
      </c>
      <c r="G88" s="23">
        <f t="shared" si="2"/>
        <v>3.021781738</v>
      </c>
      <c r="H88" s="23">
        <f t="shared" si="3"/>
        <v>9.131164874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21">
        <v>15.0</v>
      </c>
      <c r="B89" s="21">
        <v>17.0</v>
      </c>
      <c r="C89" s="21">
        <v>5.0</v>
      </c>
      <c r="D89" s="21">
        <v>10.0</v>
      </c>
      <c r="E89" s="21">
        <v>201.0</v>
      </c>
      <c r="F89" s="22">
        <f t="shared" si="1"/>
        <v>193.1697929</v>
      </c>
      <c r="G89" s="23">
        <f t="shared" si="2"/>
        <v>7.830207144</v>
      </c>
      <c r="H89" s="23">
        <f t="shared" si="3"/>
        <v>61.31214392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21">
        <v>16.0</v>
      </c>
      <c r="B90" s="21">
        <v>15.0</v>
      </c>
      <c r="C90" s="21">
        <v>4.0</v>
      </c>
      <c r="D90" s="21">
        <v>13.0</v>
      </c>
      <c r="E90" s="21">
        <v>169.0</v>
      </c>
      <c r="F90" s="22">
        <f t="shared" si="1"/>
        <v>164.1178735</v>
      </c>
      <c r="G90" s="23">
        <f t="shared" si="2"/>
        <v>4.88212654</v>
      </c>
      <c r="H90" s="23">
        <f t="shared" si="3"/>
        <v>23.83515955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21">
        <v>17.0</v>
      </c>
      <c r="B91" s="21">
        <v>11.0</v>
      </c>
      <c r="C91" s="21">
        <v>5.0</v>
      </c>
      <c r="D91" s="21">
        <v>12.0</v>
      </c>
      <c r="E91" s="21">
        <v>160.0</v>
      </c>
      <c r="F91" s="22">
        <f t="shared" si="1"/>
        <v>142.3334546</v>
      </c>
      <c r="G91" s="23">
        <f t="shared" si="2"/>
        <v>17.66654544</v>
      </c>
      <c r="H91" s="23">
        <f t="shared" si="3"/>
        <v>312.1068277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21">
        <v>18.0</v>
      </c>
      <c r="B92" s="21">
        <v>14.0</v>
      </c>
      <c r="C92" s="21">
        <v>4.0</v>
      </c>
      <c r="D92" s="21">
        <v>12.0</v>
      </c>
      <c r="E92" s="21">
        <v>151.0</v>
      </c>
      <c r="F92" s="22">
        <f t="shared" si="1"/>
        <v>159.0828535</v>
      </c>
      <c r="G92" s="23">
        <f t="shared" si="2"/>
        <v>-8.082853501</v>
      </c>
      <c r="H92" s="23">
        <f t="shared" si="3"/>
        <v>65.33252072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21">
        <v>19.0</v>
      </c>
      <c r="B93" s="21">
        <v>13.0</v>
      </c>
      <c r="C93" s="21">
        <v>2.0</v>
      </c>
      <c r="D93" s="21">
        <v>14.0</v>
      </c>
      <c r="E93" s="21">
        <v>129.0</v>
      </c>
      <c r="F93" s="22">
        <f t="shared" si="1"/>
        <v>134.1320158</v>
      </c>
      <c r="G93" s="23">
        <f t="shared" si="2"/>
        <v>-5.13201581</v>
      </c>
      <c r="H93" s="23">
        <f t="shared" si="3"/>
        <v>26.33758627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21">
        <v>20.0</v>
      </c>
      <c r="B94" s="21">
        <v>15.0</v>
      </c>
      <c r="C94" s="21">
        <v>3.0</v>
      </c>
      <c r="D94" s="21">
        <v>11.0</v>
      </c>
      <c r="E94" s="21">
        <v>163.0</v>
      </c>
      <c r="F94" s="22">
        <f t="shared" si="1"/>
        <v>163.1839352</v>
      </c>
      <c r="G94" s="23">
        <f t="shared" si="2"/>
        <v>-0.1839352061</v>
      </c>
      <c r="H94" s="23">
        <f t="shared" si="3"/>
        <v>0.03383216003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26" t="s">
        <v>64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5" t="s">
        <v>65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46" t="s">
        <v>32</v>
      </c>
      <c r="B118" s="46" t="s">
        <v>34</v>
      </c>
      <c r="C118" s="46" t="s">
        <v>66</v>
      </c>
      <c r="D118" s="46" t="s">
        <v>67</v>
      </c>
      <c r="E118" s="3"/>
      <c r="F118" s="17" t="s">
        <v>32</v>
      </c>
      <c r="G118" s="17" t="s">
        <v>1</v>
      </c>
      <c r="H118" s="20" t="s">
        <v>67</v>
      </c>
      <c r="I118" s="20" t="s">
        <v>68</v>
      </c>
      <c r="K118" s="3"/>
      <c r="L118" s="17" t="s">
        <v>32</v>
      </c>
      <c r="M118" s="17" t="s">
        <v>2</v>
      </c>
      <c r="N118" s="20" t="s">
        <v>67</v>
      </c>
      <c r="O118" s="20" t="s">
        <v>68</v>
      </c>
      <c r="Q118" s="17" t="s">
        <v>32</v>
      </c>
      <c r="R118" s="47" t="s">
        <v>3</v>
      </c>
      <c r="S118" s="20" t="s">
        <v>67</v>
      </c>
      <c r="T118" s="20" t="s">
        <v>68</v>
      </c>
      <c r="U118" s="3"/>
      <c r="V118" s="3"/>
      <c r="W118" s="3"/>
    </row>
    <row r="119">
      <c r="A119" s="30">
        <v>1.0</v>
      </c>
      <c r="B119" s="30">
        <f t="shared" ref="B119:B138" si="4">G75</f>
        <v>-2.988382441</v>
      </c>
      <c r="C119" s="30">
        <f t="shared" ref="C119:C138" si="5">ABS(B119)</f>
        <v>2.988382441</v>
      </c>
      <c r="D119" s="30">
        <f t="shared" ref="D119:D138" si="6">_xlfn.RANK.AVG(C119, $C$119:$C$138, 1)</f>
        <v>4</v>
      </c>
      <c r="E119" s="3"/>
      <c r="F119" s="21">
        <v>1.0</v>
      </c>
      <c r="G119" s="21">
        <v>12.0</v>
      </c>
      <c r="H119" s="24">
        <f t="shared" ref="H119:H138" si="7">_xlfn.RANK.AVG(G119, $G$119:$G$138, 1)</f>
        <v>3.5</v>
      </c>
      <c r="I119" s="24">
        <f t="shared" ref="I119:I138" si="8">($D119-H119)^2</f>
        <v>0.25</v>
      </c>
      <c r="K119" s="5"/>
      <c r="L119" s="21">
        <v>1.0</v>
      </c>
      <c r="M119" s="21">
        <v>2.0</v>
      </c>
      <c r="N119" s="24">
        <f t="shared" ref="N119:N138" si="9">_xlfn.RANK.AVG(M119, $M$119:$M$138, 1)</f>
        <v>2.5</v>
      </c>
      <c r="O119" s="24">
        <f t="shared" ref="O119:O138" si="10">($D119-N119)^2</f>
        <v>2.25</v>
      </c>
      <c r="Q119" s="21">
        <v>1.0</v>
      </c>
      <c r="R119" s="48">
        <v>8.0</v>
      </c>
      <c r="S119" s="24">
        <f t="shared" ref="S119:S138" si="11">_xlfn.RANK.AVG(R119, $R$119:$R$138, 1)</f>
        <v>1.5</v>
      </c>
      <c r="T119" s="24">
        <f t="shared" ref="T119:T138" si="12">($D119-S119)^2</f>
        <v>6.25</v>
      </c>
      <c r="U119" s="3"/>
      <c r="V119" s="3"/>
      <c r="W119" s="3"/>
    </row>
    <row r="120">
      <c r="A120" s="30">
        <v>2.0</v>
      </c>
      <c r="B120" s="30">
        <f t="shared" si="4"/>
        <v>-6.01323822</v>
      </c>
      <c r="C120" s="30">
        <f t="shared" si="5"/>
        <v>6.01323822</v>
      </c>
      <c r="D120" s="30">
        <f t="shared" si="6"/>
        <v>13</v>
      </c>
      <c r="E120" s="3"/>
      <c r="F120" s="21">
        <v>2.0</v>
      </c>
      <c r="G120" s="21">
        <v>17.0</v>
      </c>
      <c r="H120" s="24">
        <f t="shared" si="7"/>
        <v>19.5</v>
      </c>
      <c r="I120" s="24">
        <f t="shared" si="8"/>
        <v>42.25</v>
      </c>
      <c r="K120" s="5"/>
      <c r="L120" s="21">
        <v>2.0</v>
      </c>
      <c r="M120" s="21">
        <v>5.0</v>
      </c>
      <c r="N120" s="24">
        <f t="shared" si="9"/>
        <v>14.5</v>
      </c>
      <c r="O120" s="24">
        <f t="shared" si="10"/>
        <v>2.25</v>
      </c>
      <c r="Q120" s="21">
        <v>2.0</v>
      </c>
      <c r="R120" s="48">
        <v>12.0</v>
      </c>
      <c r="S120" s="24">
        <f t="shared" si="11"/>
        <v>13.5</v>
      </c>
      <c r="T120" s="24">
        <f t="shared" si="12"/>
        <v>0.25</v>
      </c>
      <c r="U120" s="3"/>
      <c r="V120" s="3"/>
      <c r="W120" s="3"/>
    </row>
    <row r="121">
      <c r="A121" s="30">
        <v>3.0</v>
      </c>
      <c r="B121" s="30">
        <f t="shared" si="4"/>
        <v>-9.842116598</v>
      </c>
      <c r="C121" s="30">
        <f t="shared" si="5"/>
        <v>9.842116598</v>
      </c>
      <c r="D121" s="30">
        <f t="shared" si="6"/>
        <v>19</v>
      </c>
      <c r="E121" s="3"/>
      <c r="F121" s="21">
        <v>3.0</v>
      </c>
      <c r="G121" s="21">
        <v>14.0</v>
      </c>
      <c r="H121" s="24">
        <f t="shared" si="7"/>
        <v>10.5</v>
      </c>
      <c r="I121" s="24">
        <f t="shared" si="8"/>
        <v>72.25</v>
      </c>
      <c r="K121" s="5"/>
      <c r="L121" s="21">
        <v>3.0</v>
      </c>
      <c r="M121" s="21">
        <v>6.0</v>
      </c>
      <c r="N121" s="24">
        <f t="shared" si="9"/>
        <v>19</v>
      </c>
      <c r="O121" s="24">
        <f t="shared" si="10"/>
        <v>0</v>
      </c>
      <c r="Q121" s="21">
        <v>3.0</v>
      </c>
      <c r="R121" s="48">
        <v>11.0</v>
      </c>
      <c r="S121" s="24">
        <f t="shared" si="11"/>
        <v>9.5</v>
      </c>
      <c r="T121" s="24">
        <f t="shared" si="12"/>
        <v>90.25</v>
      </c>
      <c r="U121" s="3"/>
      <c r="V121" s="3"/>
      <c r="W121" s="3"/>
    </row>
    <row r="122">
      <c r="A122" s="30">
        <v>4.0</v>
      </c>
      <c r="B122" s="30">
        <f t="shared" si="4"/>
        <v>-9.204388178</v>
      </c>
      <c r="C122" s="30">
        <f t="shared" si="5"/>
        <v>9.204388178</v>
      </c>
      <c r="D122" s="30">
        <f t="shared" si="6"/>
        <v>17</v>
      </c>
      <c r="E122" s="3"/>
      <c r="F122" s="21">
        <v>4.0</v>
      </c>
      <c r="G122" s="21">
        <v>13.0</v>
      </c>
      <c r="H122" s="24">
        <f t="shared" si="7"/>
        <v>7</v>
      </c>
      <c r="I122" s="24">
        <f t="shared" si="8"/>
        <v>100</v>
      </c>
      <c r="K122" s="5"/>
      <c r="L122" s="21">
        <v>4.0</v>
      </c>
      <c r="M122" s="21">
        <v>4.0</v>
      </c>
      <c r="N122" s="24">
        <f t="shared" si="9"/>
        <v>9.5</v>
      </c>
      <c r="O122" s="24">
        <f t="shared" si="10"/>
        <v>56.25</v>
      </c>
      <c r="Q122" s="21">
        <v>4.0</v>
      </c>
      <c r="R122" s="48">
        <v>9.0</v>
      </c>
      <c r="S122" s="24">
        <f t="shared" si="11"/>
        <v>3.5</v>
      </c>
      <c r="T122" s="24">
        <f t="shared" si="12"/>
        <v>182.25</v>
      </c>
      <c r="U122" s="3"/>
      <c r="V122" s="3"/>
      <c r="W122" s="3"/>
    </row>
    <row r="123">
      <c r="A123" s="30">
        <v>5.0</v>
      </c>
      <c r="B123" s="30">
        <f t="shared" si="4"/>
        <v>7.781044835</v>
      </c>
      <c r="C123" s="30">
        <f t="shared" si="5"/>
        <v>7.781044835</v>
      </c>
      <c r="D123" s="30">
        <f t="shared" si="6"/>
        <v>14</v>
      </c>
      <c r="E123" s="3"/>
      <c r="F123" s="7">
        <v>5.0</v>
      </c>
      <c r="G123" s="21">
        <v>16.0</v>
      </c>
      <c r="H123" s="24">
        <f t="shared" si="7"/>
        <v>17.5</v>
      </c>
      <c r="I123" s="24">
        <f t="shared" si="8"/>
        <v>12.25</v>
      </c>
      <c r="K123" s="5"/>
      <c r="L123" s="7">
        <v>5.0</v>
      </c>
      <c r="M123" s="21">
        <v>3.0</v>
      </c>
      <c r="N123" s="24">
        <f t="shared" si="9"/>
        <v>6</v>
      </c>
      <c r="O123" s="24">
        <f t="shared" si="10"/>
        <v>64</v>
      </c>
      <c r="Q123" s="7">
        <v>5.0</v>
      </c>
      <c r="R123" s="48">
        <v>12.0</v>
      </c>
      <c r="S123" s="24">
        <f t="shared" si="11"/>
        <v>13.5</v>
      </c>
      <c r="T123" s="24">
        <f t="shared" si="12"/>
        <v>0.25</v>
      </c>
      <c r="U123" s="3"/>
      <c r="V123" s="3"/>
      <c r="W123" s="3"/>
    </row>
    <row r="124">
      <c r="A124" s="30">
        <v>6.0</v>
      </c>
      <c r="B124" s="30">
        <f t="shared" si="4"/>
        <v>5.750003048</v>
      </c>
      <c r="C124" s="30">
        <f t="shared" si="5"/>
        <v>5.750003048</v>
      </c>
      <c r="D124" s="30">
        <f t="shared" si="6"/>
        <v>12</v>
      </c>
      <c r="E124" s="3"/>
      <c r="F124" s="21">
        <v>6.0</v>
      </c>
      <c r="G124" s="21">
        <v>15.0</v>
      </c>
      <c r="H124" s="24">
        <f t="shared" si="7"/>
        <v>14</v>
      </c>
      <c r="I124" s="24">
        <f t="shared" si="8"/>
        <v>4</v>
      </c>
      <c r="K124" s="5"/>
      <c r="L124" s="21">
        <v>6.0</v>
      </c>
      <c r="M124" s="21">
        <v>2.0</v>
      </c>
      <c r="N124" s="24">
        <f t="shared" si="9"/>
        <v>2.5</v>
      </c>
      <c r="O124" s="24">
        <f t="shared" si="10"/>
        <v>90.25</v>
      </c>
      <c r="Q124" s="21">
        <v>6.0</v>
      </c>
      <c r="R124" s="48">
        <v>9.0</v>
      </c>
      <c r="S124" s="24">
        <f t="shared" si="11"/>
        <v>3.5</v>
      </c>
      <c r="T124" s="24">
        <f t="shared" si="12"/>
        <v>72.25</v>
      </c>
      <c r="U124" s="3"/>
      <c r="V124" s="3"/>
      <c r="W124" s="3"/>
    </row>
    <row r="125">
      <c r="A125" s="30">
        <v>7.0</v>
      </c>
      <c r="B125" s="30">
        <f t="shared" si="4"/>
        <v>4.19290336</v>
      </c>
      <c r="C125" s="30">
        <f t="shared" si="5"/>
        <v>4.19290336</v>
      </c>
      <c r="D125" s="30">
        <f t="shared" si="6"/>
        <v>7</v>
      </c>
      <c r="E125" s="3"/>
      <c r="F125" s="21">
        <v>7.0</v>
      </c>
      <c r="G125" s="21">
        <v>13.0</v>
      </c>
      <c r="H125" s="24">
        <f t="shared" si="7"/>
        <v>7</v>
      </c>
      <c r="I125" s="24">
        <f t="shared" si="8"/>
        <v>0</v>
      </c>
      <c r="K125" s="5"/>
      <c r="L125" s="21">
        <v>7.0</v>
      </c>
      <c r="M125" s="21">
        <v>6.0</v>
      </c>
      <c r="N125" s="24">
        <f t="shared" si="9"/>
        <v>19</v>
      </c>
      <c r="O125" s="24">
        <f t="shared" si="10"/>
        <v>144</v>
      </c>
      <c r="Q125" s="21">
        <v>7.0</v>
      </c>
      <c r="R125" s="48">
        <v>10.0</v>
      </c>
      <c r="S125" s="24">
        <f t="shared" si="11"/>
        <v>6</v>
      </c>
      <c r="T125" s="24">
        <f t="shared" si="12"/>
        <v>1</v>
      </c>
      <c r="U125" s="3"/>
      <c r="V125" s="3"/>
      <c r="W125" s="3"/>
    </row>
    <row r="126">
      <c r="A126" s="30">
        <v>8.0</v>
      </c>
      <c r="B126" s="30">
        <f t="shared" si="4"/>
        <v>5.244822757</v>
      </c>
      <c r="C126" s="30">
        <f t="shared" si="5"/>
        <v>5.244822757</v>
      </c>
      <c r="D126" s="30">
        <f t="shared" si="6"/>
        <v>11</v>
      </c>
      <c r="E126" s="3"/>
      <c r="F126" s="21">
        <v>8.0</v>
      </c>
      <c r="G126" s="21">
        <v>11.0</v>
      </c>
      <c r="H126" s="24">
        <f t="shared" si="7"/>
        <v>1.5</v>
      </c>
      <c r="I126" s="24">
        <f t="shared" si="8"/>
        <v>90.25</v>
      </c>
      <c r="K126" s="5"/>
      <c r="L126" s="21">
        <v>8.0</v>
      </c>
      <c r="M126" s="21">
        <v>5.0</v>
      </c>
      <c r="N126" s="24">
        <f t="shared" si="9"/>
        <v>14.5</v>
      </c>
      <c r="O126" s="24">
        <f t="shared" si="10"/>
        <v>12.25</v>
      </c>
      <c r="Q126" s="21">
        <v>8.0</v>
      </c>
      <c r="R126" s="48">
        <v>13.0</v>
      </c>
      <c r="S126" s="24">
        <f t="shared" si="11"/>
        <v>16.5</v>
      </c>
      <c r="T126" s="24">
        <f t="shared" si="12"/>
        <v>30.25</v>
      </c>
      <c r="U126" s="3"/>
      <c r="V126" s="3"/>
      <c r="W126" s="3"/>
    </row>
    <row r="127">
      <c r="A127" s="30">
        <v>9.0</v>
      </c>
      <c r="B127" s="30">
        <f t="shared" si="4"/>
        <v>3.147294586</v>
      </c>
      <c r="C127" s="30">
        <f t="shared" si="5"/>
        <v>3.147294586</v>
      </c>
      <c r="D127" s="30">
        <f t="shared" si="6"/>
        <v>6</v>
      </c>
      <c r="E127" s="3"/>
      <c r="F127" s="21">
        <v>9.0</v>
      </c>
      <c r="G127" s="21">
        <v>15.0</v>
      </c>
      <c r="H127" s="24">
        <f t="shared" si="7"/>
        <v>14</v>
      </c>
      <c r="I127" s="24">
        <f t="shared" si="8"/>
        <v>64</v>
      </c>
      <c r="K127" s="5"/>
      <c r="L127" s="21">
        <v>9.0</v>
      </c>
      <c r="M127" s="21">
        <v>4.0</v>
      </c>
      <c r="N127" s="24">
        <f t="shared" si="9"/>
        <v>9.5</v>
      </c>
      <c r="O127" s="24">
        <f t="shared" si="10"/>
        <v>12.25</v>
      </c>
      <c r="Q127" s="21">
        <v>9.0</v>
      </c>
      <c r="R127" s="48">
        <v>10.0</v>
      </c>
      <c r="S127" s="24">
        <f t="shared" si="11"/>
        <v>6</v>
      </c>
      <c r="T127" s="24">
        <f t="shared" si="12"/>
        <v>0</v>
      </c>
      <c r="U127" s="3"/>
      <c r="V127" s="3"/>
      <c r="W127" s="3"/>
    </row>
    <row r="128">
      <c r="A128" s="30">
        <v>10.0</v>
      </c>
      <c r="B128" s="30">
        <f t="shared" si="4"/>
        <v>-9.228819322</v>
      </c>
      <c r="C128" s="30">
        <f t="shared" si="5"/>
        <v>9.228819322</v>
      </c>
      <c r="D128" s="30">
        <f t="shared" si="6"/>
        <v>18</v>
      </c>
      <c r="E128" s="3"/>
      <c r="F128" s="21">
        <v>10.0</v>
      </c>
      <c r="G128" s="21">
        <v>13.0</v>
      </c>
      <c r="H128" s="24">
        <f t="shared" si="7"/>
        <v>7</v>
      </c>
      <c r="I128" s="24">
        <f t="shared" si="8"/>
        <v>121</v>
      </c>
      <c r="K128" s="5"/>
      <c r="L128" s="21">
        <v>10.0</v>
      </c>
      <c r="M128" s="21">
        <v>6.0</v>
      </c>
      <c r="N128" s="24">
        <f t="shared" si="9"/>
        <v>19</v>
      </c>
      <c r="O128" s="24">
        <f t="shared" si="10"/>
        <v>1</v>
      </c>
      <c r="Q128" s="21">
        <v>10.0</v>
      </c>
      <c r="R128" s="48">
        <v>11.0</v>
      </c>
      <c r="S128" s="24">
        <f t="shared" si="11"/>
        <v>9.5</v>
      </c>
      <c r="T128" s="24">
        <f t="shared" si="12"/>
        <v>72.25</v>
      </c>
      <c r="U128" s="3"/>
      <c r="V128" s="3"/>
      <c r="W128" s="3"/>
    </row>
    <row r="129">
      <c r="A129" s="30">
        <v>11.0</v>
      </c>
      <c r="B129" s="30">
        <f t="shared" si="4"/>
        <v>-2.790197202</v>
      </c>
      <c r="C129" s="30">
        <f t="shared" si="5"/>
        <v>2.790197202</v>
      </c>
      <c r="D129" s="30">
        <f t="shared" si="6"/>
        <v>3</v>
      </c>
      <c r="E129" s="3"/>
      <c r="F129" s="21">
        <v>11.0</v>
      </c>
      <c r="G129" s="21">
        <v>12.0</v>
      </c>
      <c r="H129" s="24">
        <f t="shared" si="7"/>
        <v>3.5</v>
      </c>
      <c r="I129" s="24">
        <f t="shared" si="8"/>
        <v>0.25</v>
      </c>
      <c r="K129" s="5"/>
      <c r="L129" s="21">
        <v>11.0</v>
      </c>
      <c r="M129" s="21">
        <v>5.0</v>
      </c>
      <c r="N129" s="24">
        <f t="shared" si="9"/>
        <v>14.5</v>
      </c>
      <c r="O129" s="24">
        <f t="shared" si="10"/>
        <v>132.25</v>
      </c>
      <c r="Q129" s="21">
        <v>11.0</v>
      </c>
      <c r="R129" s="48">
        <v>14.0</v>
      </c>
      <c r="S129" s="24">
        <f t="shared" si="11"/>
        <v>19</v>
      </c>
      <c r="T129" s="24">
        <f t="shared" si="12"/>
        <v>256</v>
      </c>
      <c r="U129" s="3"/>
      <c r="V129" s="3"/>
      <c r="W129" s="3"/>
    </row>
    <row r="130">
      <c r="A130" s="30">
        <v>12.0</v>
      </c>
      <c r="B130" s="30">
        <f t="shared" si="4"/>
        <v>-4.449103252</v>
      </c>
      <c r="C130" s="30">
        <f t="shared" si="5"/>
        <v>4.449103252</v>
      </c>
      <c r="D130" s="30">
        <f t="shared" si="6"/>
        <v>8</v>
      </c>
      <c r="E130" s="3"/>
      <c r="F130" s="21">
        <v>12.0</v>
      </c>
      <c r="G130" s="21">
        <v>15.0</v>
      </c>
      <c r="H130" s="24">
        <f t="shared" si="7"/>
        <v>14</v>
      </c>
      <c r="I130" s="24">
        <f t="shared" si="8"/>
        <v>36</v>
      </c>
      <c r="K130" s="5"/>
      <c r="L130" s="21">
        <v>12.0</v>
      </c>
      <c r="M130" s="21">
        <v>3.0</v>
      </c>
      <c r="N130" s="24">
        <f t="shared" si="9"/>
        <v>6</v>
      </c>
      <c r="O130" s="24">
        <f t="shared" si="10"/>
        <v>4</v>
      </c>
      <c r="Q130" s="21">
        <v>12.0</v>
      </c>
      <c r="R130" s="48">
        <v>14.0</v>
      </c>
      <c r="S130" s="24">
        <f t="shared" si="11"/>
        <v>19</v>
      </c>
      <c r="T130" s="24">
        <f t="shared" si="12"/>
        <v>121</v>
      </c>
      <c r="U130" s="3"/>
      <c r="V130" s="3"/>
      <c r="W130" s="3"/>
    </row>
    <row r="131">
      <c r="A131" s="30">
        <v>13.0</v>
      </c>
      <c r="B131" s="30">
        <f t="shared" si="4"/>
        <v>-1.601679717</v>
      </c>
      <c r="C131" s="30">
        <f t="shared" si="5"/>
        <v>1.601679717</v>
      </c>
      <c r="D131" s="30">
        <f t="shared" si="6"/>
        <v>2</v>
      </c>
      <c r="E131" s="3"/>
      <c r="F131" s="21">
        <v>13.0</v>
      </c>
      <c r="G131" s="21">
        <v>13.0</v>
      </c>
      <c r="H131" s="24">
        <f t="shared" si="7"/>
        <v>7</v>
      </c>
      <c r="I131" s="24">
        <f t="shared" si="8"/>
        <v>25</v>
      </c>
      <c r="K131" s="5"/>
      <c r="L131" s="21">
        <v>13.0</v>
      </c>
      <c r="M131" s="21">
        <v>2.0</v>
      </c>
      <c r="N131" s="24">
        <f t="shared" si="9"/>
        <v>2.5</v>
      </c>
      <c r="O131" s="24">
        <f t="shared" si="10"/>
        <v>0.25</v>
      </c>
      <c r="Q131" s="21">
        <v>13.0</v>
      </c>
      <c r="R131" s="48">
        <v>8.0</v>
      </c>
      <c r="S131" s="24">
        <f t="shared" si="11"/>
        <v>1.5</v>
      </c>
      <c r="T131" s="24">
        <f t="shared" si="12"/>
        <v>0.25</v>
      </c>
      <c r="U131" s="3"/>
      <c r="V131" s="3"/>
      <c r="W131" s="3"/>
    </row>
    <row r="132">
      <c r="A132" s="30">
        <v>14.0</v>
      </c>
      <c r="B132" s="30">
        <f t="shared" si="4"/>
        <v>3.021781738</v>
      </c>
      <c r="C132" s="30">
        <f t="shared" si="5"/>
        <v>3.021781738</v>
      </c>
      <c r="D132" s="30">
        <f t="shared" si="6"/>
        <v>5</v>
      </c>
      <c r="E132" s="3"/>
      <c r="F132" s="21">
        <v>14.0</v>
      </c>
      <c r="G132" s="21">
        <v>16.0</v>
      </c>
      <c r="H132" s="24">
        <f t="shared" si="7"/>
        <v>17.5</v>
      </c>
      <c r="I132" s="24">
        <f t="shared" si="8"/>
        <v>156.25</v>
      </c>
      <c r="K132" s="5"/>
      <c r="L132" s="21">
        <v>14.0</v>
      </c>
      <c r="M132" s="21">
        <v>5.0</v>
      </c>
      <c r="N132" s="24">
        <f t="shared" si="9"/>
        <v>14.5</v>
      </c>
      <c r="O132" s="24">
        <f t="shared" si="10"/>
        <v>90.25</v>
      </c>
      <c r="Q132" s="21">
        <v>14.0</v>
      </c>
      <c r="R132" s="48">
        <v>11.0</v>
      </c>
      <c r="S132" s="24">
        <f t="shared" si="11"/>
        <v>9.5</v>
      </c>
      <c r="T132" s="24">
        <f t="shared" si="12"/>
        <v>20.25</v>
      </c>
      <c r="U132" s="3"/>
      <c r="V132" s="3"/>
      <c r="W132" s="3"/>
    </row>
    <row r="133">
      <c r="A133" s="30">
        <v>15.0</v>
      </c>
      <c r="B133" s="30">
        <f t="shared" si="4"/>
        <v>7.830207144</v>
      </c>
      <c r="C133" s="30">
        <f t="shared" si="5"/>
        <v>7.830207144</v>
      </c>
      <c r="D133" s="30">
        <f t="shared" si="6"/>
        <v>15</v>
      </c>
      <c r="E133" s="3"/>
      <c r="F133" s="21">
        <v>15.0</v>
      </c>
      <c r="G133" s="21">
        <v>17.0</v>
      </c>
      <c r="H133" s="24">
        <f t="shared" si="7"/>
        <v>19.5</v>
      </c>
      <c r="I133" s="24">
        <f t="shared" si="8"/>
        <v>20.25</v>
      </c>
      <c r="K133" s="5"/>
      <c r="L133" s="21">
        <v>15.0</v>
      </c>
      <c r="M133" s="21">
        <v>5.0</v>
      </c>
      <c r="N133" s="24">
        <f t="shared" si="9"/>
        <v>14.5</v>
      </c>
      <c r="O133" s="24">
        <f t="shared" si="10"/>
        <v>0.25</v>
      </c>
      <c r="Q133" s="21">
        <v>15.0</v>
      </c>
      <c r="R133" s="48">
        <v>10.0</v>
      </c>
      <c r="S133" s="24">
        <f t="shared" si="11"/>
        <v>6</v>
      </c>
      <c r="T133" s="24">
        <f t="shared" si="12"/>
        <v>81</v>
      </c>
      <c r="U133" s="3"/>
      <c r="V133" s="3"/>
      <c r="W133" s="3"/>
    </row>
    <row r="134">
      <c r="A134" s="30">
        <v>16.0</v>
      </c>
      <c r="B134" s="30">
        <f t="shared" si="4"/>
        <v>4.88212654</v>
      </c>
      <c r="C134" s="30">
        <f t="shared" si="5"/>
        <v>4.88212654</v>
      </c>
      <c r="D134" s="30">
        <f t="shared" si="6"/>
        <v>9</v>
      </c>
      <c r="E134" s="3"/>
      <c r="F134" s="21">
        <v>16.0</v>
      </c>
      <c r="G134" s="21">
        <v>15.0</v>
      </c>
      <c r="H134" s="24">
        <f t="shared" si="7"/>
        <v>14</v>
      </c>
      <c r="I134" s="24">
        <f t="shared" si="8"/>
        <v>25</v>
      </c>
      <c r="K134" s="5"/>
      <c r="L134" s="21">
        <v>16.0</v>
      </c>
      <c r="M134" s="21">
        <v>4.0</v>
      </c>
      <c r="N134" s="24">
        <f t="shared" si="9"/>
        <v>9.5</v>
      </c>
      <c r="O134" s="24">
        <f t="shared" si="10"/>
        <v>0.25</v>
      </c>
      <c r="Q134" s="21">
        <v>16.0</v>
      </c>
      <c r="R134" s="48">
        <v>13.0</v>
      </c>
      <c r="S134" s="24">
        <f t="shared" si="11"/>
        <v>16.5</v>
      </c>
      <c r="T134" s="24">
        <f t="shared" si="12"/>
        <v>56.25</v>
      </c>
      <c r="U134" s="3"/>
      <c r="V134" s="3"/>
      <c r="W134" s="3"/>
    </row>
    <row r="135">
      <c r="A135" s="30">
        <v>17.0</v>
      </c>
      <c r="B135" s="30">
        <f t="shared" si="4"/>
        <v>17.66654544</v>
      </c>
      <c r="C135" s="30">
        <f t="shared" si="5"/>
        <v>17.66654544</v>
      </c>
      <c r="D135" s="30">
        <f t="shared" si="6"/>
        <v>20</v>
      </c>
      <c r="E135" s="3"/>
      <c r="F135" s="21">
        <v>17.0</v>
      </c>
      <c r="G135" s="21">
        <v>11.0</v>
      </c>
      <c r="H135" s="24">
        <f t="shared" si="7"/>
        <v>1.5</v>
      </c>
      <c r="I135" s="24">
        <f t="shared" si="8"/>
        <v>342.25</v>
      </c>
      <c r="K135" s="5"/>
      <c r="L135" s="21">
        <v>17.0</v>
      </c>
      <c r="M135" s="21">
        <v>5.0</v>
      </c>
      <c r="N135" s="24">
        <f t="shared" si="9"/>
        <v>14.5</v>
      </c>
      <c r="O135" s="24">
        <f t="shared" si="10"/>
        <v>30.25</v>
      </c>
      <c r="Q135" s="21">
        <v>17.0</v>
      </c>
      <c r="R135" s="48">
        <v>12.0</v>
      </c>
      <c r="S135" s="24">
        <f t="shared" si="11"/>
        <v>13.5</v>
      </c>
      <c r="T135" s="24">
        <f t="shared" si="12"/>
        <v>42.25</v>
      </c>
      <c r="U135" s="3"/>
      <c r="V135" s="3"/>
      <c r="W135" s="3"/>
    </row>
    <row r="136">
      <c r="A136" s="30">
        <v>18.0</v>
      </c>
      <c r="B136" s="30">
        <f t="shared" si="4"/>
        <v>-8.082853501</v>
      </c>
      <c r="C136" s="30">
        <f t="shared" si="5"/>
        <v>8.082853501</v>
      </c>
      <c r="D136" s="30">
        <f t="shared" si="6"/>
        <v>16</v>
      </c>
      <c r="E136" s="3"/>
      <c r="F136" s="21">
        <v>18.0</v>
      </c>
      <c r="G136" s="21">
        <v>14.0</v>
      </c>
      <c r="H136" s="24">
        <f t="shared" si="7"/>
        <v>10.5</v>
      </c>
      <c r="I136" s="24">
        <f t="shared" si="8"/>
        <v>30.25</v>
      </c>
      <c r="K136" s="5"/>
      <c r="L136" s="21">
        <v>18.0</v>
      </c>
      <c r="M136" s="21">
        <v>4.0</v>
      </c>
      <c r="N136" s="24">
        <f t="shared" si="9"/>
        <v>9.5</v>
      </c>
      <c r="O136" s="24">
        <f t="shared" si="10"/>
        <v>42.25</v>
      </c>
      <c r="Q136" s="21">
        <v>18.0</v>
      </c>
      <c r="R136" s="48">
        <v>12.0</v>
      </c>
      <c r="S136" s="24">
        <f t="shared" si="11"/>
        <v>13.5</v>
      </c>
      <c r="T136" s="24">
        <f t="shared" si="12"/>
        <v>6.25</v>
      </c>
      <c r="U136" s="3"/>
      <c r="V136" s="3"/>
      <c r="W136" s="3"/>
    </row>
    <row r="137">
      <c r="A137" s="30">
        <v>19.0</v>
      </c>
      <c r="B137" s="30">
        <f t="shared" si="4"/>
        <v>-5.13201581</v>
      </c>
      <c r="C137" s="30">
        <f t="shared" si="5"/>
        <v>5.13201581</v>
      </c>
      <c r="D137" s="30">
        <f t="shared" si="6"/>
        <v>10</v>
      </c>
      <c r="E137" s="3"/>
      <c r="F137" s="21">
        <v>19.0</v>
      </c>
      <c r="G137" s="21">
        <v>13.0</v>
      </c>
      <c r="H137" s="24">
        <f t="shared" si="7"/>
        <v>7</v>
      </c>
      <c r="I137" s="24">
        <f t="shared" si="8"/>
        <v>9</v>
      </c>
      <c r="K137" s="5"/>
      <c r="L137" s="21">
        <v>19.0</v>
      </c>
      <c r="M137" s="21">
        <v>2.0</v>
      </c>
      <c r="N137" s="24">
        <f t="shared" si="9"/>
        <v>2.5</v>
      </c>
      <c r="O137" s="24">
        <f t="shared" si="10"/>
        <v>56.25</v>
      </c>
      <c r="Q137" s="21">
        <v>19.0</v>
      </c>
      <c r="R137" s="48">
        <v>14.0</v>
      </c>
      <c r="S137" s="24">
        <f t="shared" si="11"/>
        <v>19</v>
      </c>
      <c r="T137" s="24">
        <f t="shared" si="12"/>
        <v>81</v>
      </c>
      <c r="U137" s="3"/>
      <c r="V137" s="3"/>
      <c r="W137" s="3"/>
    </row>
    <row r="138">
      <c r="A138" s="30">
        <v>20.0</v>
      </c>
      <c r="B138" s="30">
        <f t="shared" si="4"/>
        <v>-0.1839352061</v>
      </c>
      <c r="C138" s="30">
        <f t="shared" si="5"/>
        <v>0.1839352061</v>
      </c>
      <c r="D138" s="30">
        <f t="shared" si="6"/>
        <v>1</v>
      </c>
      <c r="E138" s="3"/>
      <c r="F138" s="21">
        <v>20.0</v>
      </c>
      <c r="G138" s="21">
        <v>15.0</v>
      </c>
      <c r="H138" s="24">
        <f t="shared" si="7"/>
        <v>14</v>
      </c>
      <c r="I138" s="24">
        <f t="shared" si="8"/>
        <v>169</v>
      </c>
      <c r="K138" s="5"/>
      <c r="L138" s="21">
        <v>20.0</v>
      </c>
      <c r="M138" s="21">
        <v>3.0</v>
      </c>
      <c r="N138" s="24">
        <f t="shared" si="9"/>
        <v>6</v>
      </c>
      <c r="O138" s="24">
        <f t="shared" si="10"/>
        <v>25</v>
      </c>
      <c r="Q138" s="21">
        <v>20.0</v>
      </c>
      <c r="R138" s="48">
        <v>11.0</v>
      </c>
      <c r="S138" s="24">
        <f t="shared" si="11"/>
        <v>9.5</v>
      </c>
      <c r="T138" s="24">
        <f t="shared" si="12"/>
        <v>72.25</v>
      </c>
      <c r="U138" s="3"/>
      <c r="V138" s="3"/>
      <c r="W138" s="3"/>
    </row>
    <row r="139">
      <c r="A139" s="32"/>
      <c r="B139" s="11"/>
      <c r="C139" s="3"/>
      <c r="D139" s="3"/>
      <c r="E139" s="3"/>
      <c r="F139" s="3"/>
      <c r="G139" s="3"/>
      <c r="H139" s="5" t="s">
        <v>69</v>
      </c>
      <c r="I139" s="3">
        <f>SUM(I119:I138)</f>
        <v>1319.5</v>
      </c>
      <c r="J139" s="3"/>
      <c r="K139" s="3"/>
      <c r="L139" s="3"/>
      <c r="M139" s="3"/>
      <c r="N139" s="5" t="s">
        <v>69</v>
      </c>
      <c r="O139" s="3">
        <f>SUM(O119:O138)</f>
        <v>765.5</v>
      </c>
      <c r="P139" s="3"/>
      <c r="Q139" s="3"/>
      <c r="S139" s="26" t="s">
        <v>69</v>
      </c>
      <c r="T139" s="3">
        <f>SUM(T119:T138)</f>
        <v>1191.5</v>
      </c>
      <c r="U139" s="3"/>
      <c r="V139" s="3"/>
      <c r="W139" s="3"/>
    </row>
    <row r="140">
      <c r="A140" s="32"/>
      <c r="B140" s="11"/>
      <c r="C140" s="3"/>
      <c r="D140" s="3"/>
      <c r="E140" s="3"/>
      <c r="F140" s="3"/>
      <c r="G140" s="5"/>
      <c r="H140" s="5" t="s">
        <v>70</v>
      </c>
      <c r="I140" s="3">
        <f>1-6*(I139/(20*(20^2-1)))</f>
        <v>0.007894736842</v>
      </c>
      <c r="J140" s="3"/>
      <c r="K140" s="3"/>
      <c r="L140" s="3"/>
      <c r="M140" s="3"/>
      <c r="N140" s="5" t="s">
        <v>70</v>
      </c>
      <c r="O140" s="3">
        <f>1-6*(O139/(20*(20^2-1)))</f>
        <v>0.4244360902</v>
      </c>
      <c r="P140" s="3"/>
      <c r="Q140" s="3"/>
      <c r="R140" s="3"/>
      <c r="S140" s="5" t="s">
        <v>70</v>
      </c>
      <c r="T140" s="3">
        <f>1-6*(T139/(20*(20^2-1)))</f>
        <v>0.1041353383</v>
      </c>
      <c r="U140" s="3"/>
      <c r="V140" s="3"/>
      <c r="W140" s="3"/>
    </row>
    <row r="141">
      <c r="A141" s="32"/>
      <c r="B141" s="11"/>
      <c r="C141" s="3"/>
      <c r="D141" s="3"/>
      <c r="E141" s="3"/>
      <c r="F141" s="3"/>
      <c r="G141" s="3"/>
      <c r="H141" s="5" t="s">
        <v>71</v>
      </c>
      <c r="I141" s="3">
        <f>I140*SQRT(20 - 2) / SQRT(1 - I140^2)</f>
        <v>0.03349557559</v>
      </c>
      <c r="J141" s="3"/>
      <c r="K141" s="3"/>
      <c r="L141" s="3"/>
      <c r="M141" s="3"/>
      <c r="N141" s="5" t="s">
        <v>71</v>
      </c>
      <c r="O141" s="3">
        <f>O140*SQRT(20 - 2) / SQRT(1 - O140^2)</f>
        <v>1.988750475</v>
      </c>
      <c r="P141" s="3"/>
      <c r="Q141" s="3"/>
      <c r="R141" s="3"/>
      <c r="S141" s="5" t="s">
        <v>71</v>
      </c>
      <c r="T141" s="3">
        <f>T140*SQRT(20 - 2) / SQRT(1 - T140^2)</f>
        <v>0.444224009</v>
      </c>
      <c r="U141" s="3"/>
      <c r="V141" s="3"/>
      <c r="W141" s="3"/>
    </row>
    <row r="142">
      <c r="A142" s="32"/>
      <c r="B142" s="11"/>
      <c r="C142" s="3"/>
      <c r="D142" s="3"/>
      <c r="E142" s="3"/>
      <c r="F142" s="3"/>
      <c r="G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2"/>
      <c r="B143" s="1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2"/>
      <c r="B144" s="11"/>
      <c r="C144" s="5" t="s">
        <v>72</v>
      </c>
      <c r="D144" s="3">
        <f>_xlfn.T.INV.2T(0.05, 16)</f>
        <v>2.119905299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2"/>
      <c r="B145" s="11"/>
      <c r="C145" s="3"/>
      <c r="D145" s="3"/>
      <c r="E145" s="3"/>
      <c r="F145" s="3"/>
      <c r="G145" s="3"/>
      <c r="H145" s="3"/>
      <c r="J145" s="5" t="s">
        <v>73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2"/>
      <c r="B146" s="1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2"/>
      <c r="B147" s="1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5" t="s">
        <v>74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17" t="s">
        <v>32</v>
      </c>
      <c r="B155" s="17" t="s">
        <v>1</v>
      </c>
      <c r="C155" s="17" t="s">
        <v>2</v>
      </c>
      <c r="D155" s="17" t="s">
        <v>3</v>
      </c>
      <c r="E155" s="17" t="s">
        <v>4</v>
      </c>
      <c r="F155" s="18" t="s">
        <v>33</v>
      </c>
      <c r="G155" s="19" t="s">
        <v>62</v>
      </c>
      <c r="H155" s="19" t="s">
        <v>63</v>
      </c>
      <c r="I155" s="3"/>
      <c r="J155" s="5" t="s">
        <v>75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49">
        <v>8.0</v>
      </c>
      <c r="B156" s="49">
        <v>11.0</v>
      </c>
      <c r="C156" s="49">
        <v>5.0</v>
      </c>
      <c r="D156" s="49">
        <v>13.0</v>
      </c>
      <c r="E156" s="49">
        <v>145.0</v>
      </c>
      <c r="F156" s="50">
        <f t="shared" ref="F156:F175" si="13">$B$41 + $B$42 * B156 + $B$43 * C156 + $B$44 * D156</f>
        <v>139.7551772</v>
      </c>
      <c r="G156" s="51">
        <f t="shared" ref="G156:G175" si="14">E156-F156</f>
        <v>5.244822757</v>
      </c>
      <c r="H156" s="51">
        <f t="shared" ref="H156:H175" si="15">G156^2</f>
        <v>27.50816575</v>
      </c>
      <c r="I156" s="3"/>
      <c r="J156" s="3"/>
      <c r="K156" s="3"/>
      <c r="L156" s="26" t="s">
        <v>76</v>
      </c>
      <c r="M156" s="3">
        <f>SUM(H156:H162)</f>
        <v>543.8029299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49">
        <v>17.0</v>
      </c>
      <c r="B157" s="49">
        <v>11.0</v>
      </c>
      <c r="C157" s="49">
        <v>5.0</v>
      </c>
      <c r="D157" s="49">
        <v>12.0</v>
      </c>
      <c r="E157" s="49">
        <v>160.0</v>
      </c>
      <c r="F157" s="50">
        <f t="shared" si="13"/>
        <v>142.3334546</v>
      </c>
      <c r="G157" s="51">
        <f t="shared" si="14"/>
        <v>17.66654544</v>
      </c>
      <c r="H157" s="51">
        <f t="shared" si="15"/>
        <v>312.1068277</v>
      </c>
      <c r="I157" s="3"/>
      <c r="J157" s="3"/>
      <c r="K157" s="3"/>
      <c r="L157" s="5" t="s">
        <v>77</v>
      </c>
      <c r="M157" s="3">
        <f>SUM(H169:H175)</f>
        <v>210.8105129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49">
        <v>1.0</v>
      </c>
      <c r="B158" s="49">
        <v>12.0</v>
      </c>
      <c r="C158" s="49">
        <v>2.0</v>
      </c>
      <c r="D158" s="49">
        <v>8.0</v>
      </c>
      <c r="E158" s="49">
        <v>139.0</v>
      </c>
      <c r="F158" s="50">
        <f t="shared" si="13"/>
        <v>141.9883824</v>
      </c>
      <c r="G158" s="51">
        <f t="shared" si="14"/>
        <v>-2.988382441</v>
      </c>
      <c r="H158" s="51">
        <f t="shared" si="15"/>
        <v>8.930429612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49">
        <v>11.0</v>
      </c>
      <c r="B159" s="49">
        <v>12.0</v>
      </c>
      <c r="C159" s="49">
        <v>5.0</v>
      </c>
      <c r="D159" s="49">
        <v>14.0</v>
      </c>
      <c r="E159" s="49">
        <v>142.0</v>
      </c>
      <c r="F159" s="50">
        <f t="shared" si="13"/>
        <v>144.7901972</v>
      </c>
      <c r="G159" s="51">
        <f t="shared" si="14"/>
        <v>-2.790197202</v>
      </c>
      <c r="H159" s="51">
        <f t="shared" si="15"/>
        <v>7.785200425</v>
      </c>
      <c r="I159" s="3"/>
      <c r="J159" s="3"/>
      <c r="K159" s="3"/>
      <c r="L159" s="5" t="s">
        <v>78</v>
      </c>
      <c r="M159" s="3">
        <f>M157/M156</f>
        <v>0.3876597592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49">
        <v>4.0</v>
      </c>
      <c r="B160" s="49">
        <v>13.0</v>
      </c>
      <c r="C160" s="49">
        <v>4.0</v>
      </c>
      <c r="D160" s="49">
        <v>9.0</v>
      </c>
      <c r="E160" s="49">
        <v>150.0</v>
      </c>
      <c r="F160" s="50">
        <f t="shared" si="13"/>
        <v>159.2043882</v>
      </c>
      <c r="G160" s="51">
        <f t="shared" si="14"/>
        <v>-9.204388178</v>
      </c>
      <c r="H160" s="51">
        <f t="shared" si="15"/>
        <v>84.72076174</v>
      </c>
      <c r="I160" s="3"/>
      <c r="J160" s="3"/>
      <c r="K160" s="3"/>
      <c r="L160" s="5" t="s">
        <v>79</v>
      </c>
      <c r="M160" s="3">
        <f>_xlfn.F.INV.RT(0.05,3+1,20-3-1)</f>
        <v>3.00691728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49">
        <v>7.0</v>
      </c>
      <c r="B161" s="49">
        <v>13.0</v>
      </c>
      <c r="C161" s="49">
        <v>6.0</v>
      </c>
      <c r="D161" s="49">
        <v>10.0</v>
      </c>
      <c r="E161" s="49">
        <v>173.0</v>
      </c>
      <c r="F161" s="50">
        <f t="shared" si="13"/>
        <v>168.8070966</v>
      </c>
      <c r="G161" s="51">
        <f t="shared" si="14"/>
        <v>4.19290336</v>
      </c>
      <c r="H161" s="51">
        <f t="shared" si="15"/>
        <v>17.58043859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49">
        <v>10.0</v>
      </c>
      <c r="B162" s="49">
        <v>13.0</v>
      </c>
      <c r="C162" s="49">
        <v>6.0</v>
      </c>
      <c r="D162" s="49">
        <v>11.0</v>
      </c>
      <c r="E162" s="49">
        <v>157.0</v>
      </c>
      <c r="F162" s="50">
        <f t="shared" si="13"/>
        <v>166.2288193</v>
      </c>
      <c r="G162" s="51">
        <f t="shared" si="14"/>
        <v>-9.228819322</v>
      </c>
      <c r="H162" s="51">
        <f t="shared" si="15"/>
        <v>85.17110607</v>
      </c>
      <c r="I162" s="3"/>
      <c r="J162" s="3"/>
      <c r="K162" s="3"/>
      <c r="L162" s="5" t="s">
        <v>80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52">
        <v>13.0</v>
      </c>
      <c r="B163" s="52">
        <v>13.0</v>
      </c>
      <c r="C163" s="52">
        <v>2.0</v>
      </c>
      <c r="D163" s="52">
        <v>8.0</v>
      </c>
      <c r="E163" s="52">
        <v>148.0</v>
      </c>
      <c r="F163" s="53">
        <f t="shared" si="13"/>
        <v>149.6016797</v>
      </c>
      <c r="G163" s="54">
        <f t="shared" si="14"/>
        <v>-1.601679717</v>
      </c>
      <c r="H163" s="54">
        <f t="shared" si="15"/>
        <v>2.565377917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52">
        <v>19.0</v>
      </c>
      <c r="B164" s="52">
        <v>13.0</v>
      </c>
      <c r="C164" s="52">
        <v>2.0</v>
      </c>
      <c r="D164" s="52">
        <v>14.0</v>
      </c>
      <c r="E164" s="52">
        <v>129.0</v>
      </c>
      <c r="F164" s="53">
        <f t="shared" si="13"/>
        <v>134.1320158</v>
      </c>
      <c r="G164" s="54">
        <f t="shared" si="14"/>
        <v>-5.13201581</v>
      </c>
      <c r="H164" s="54">
        <f t="shared" si="15"/>
        <v>26.33758627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52">
        <v>3.0</v>
      </c>
      <c r="B165" s="52">
        <v>14.0</v>
      </c>
      <c r="C165" s="52">
        <v>6.0</v>
      </c>
      <c r="D165" s="52">
        <v>11.0</v>
      </c>
      <c r="E165" s="52">
        <v>164.0</v>
      </c>
      <c r="F165" s="53">
        <f t="shared" si="13"/>
        <v>173.8421166</v>
      </c>
      <c r="G165" s="54">
        <f t="shared" si="14"/>
        <v>-9.842116598</v>
      </c>
      <c r="H165" s="54">
        <f t="shared" si="15"/>
        <v>96.86725913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52">
        <v>18.0</v>
      </c>
      <c r="B166" s="52">
        <v>14.0</v>
      </c>
      <c r="C166" s="52">
        <v>4.0</v>
      </c>
      <c r="D166" s="52">
        <v>12.0</v>
      </c>
      <c r="E166" s="52">
        <v>151.0</v>
      </c>
      <c r="F166" s="53">
        <f t="shared" si="13"/>
        <v>159.0828535</v>
      </c>
      <c r="G166" s="54">
        <f t="shared" si="14"/>
        <v>-8.082853501</v>
      </c>
      <c r="H166" s="54">
        <f t="shared" si="15"/>
        <v>65.33252072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52">
        <v>6.0</v>
      </c>
      <c r="B167" s="52">
        <v>15.0</v>
      </c>
      <c r="C167" s="52">
        <v>2.0</v>
      </c>
      <c r="D167" s="52">
        <v>9.0</v>
      </c>
      <c r="E167" s="52">
        <v>168.0</v>
      </c>
      <c r="F167" s="53">
        <f t="shared" si="13"/>
        <v>162.249997</v>
      </c>
      <c r="G167" s="54">
        <f t="shared" si="14"/>
        <v>5.750003048</v>
      </c>
      <c r="H167" s="54">
        <f t="shared" si="15"/>
        <v>33.06253505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52">
        <v>9.0</v>
      </c>
      <c r="B168" s="52">
        <v>15.0</v>
      </c>
      <c r="C168" s="52">
        <v>4.0</v>
      </c>
      <c r="D168" s="52">
        <v>10.0</v>
      </c>
      <c r="E168" s="52">
        <v>175.0</v>
      </c>
      <c r="F168" s="53">
        <f t="shared" si="13"/>
        <v>171.8527054</v>
      </c>
      <c r="G168" s="54">
        <f t="shared" si="14"/>
        <v>3.147294586</v>
      </c>
      <c r="H168" s="54">
        <f t="shared" si="15"/>
        <v>9.905463214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49">
        <v>12.0</v>
      </c>
      <c r="B169" s="49">
        <v>15.0</v>
      </c>
      <c r="C169" s="49">
        <v>3.0</v>
      </c>
      <c r="D169" s="49">
        <v>14.0</v>
      </c>
      <c r="E169" s="49">
        <v>151.0</v>
      </c>
      <c r="F169" s="50">
        <f t="shared" si="13"/>
        <v>155.4491033</v>
      </c>
      <c r="G169" s="51">
        <f t="shared" si="14"/>
        <v>-4.449103252</v>
      </c>
      <c r="H169" s="51">
        <f t="shared" si="15"/>
        <v>19.79451975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49">
        <v>16.0</v>
      </c>
      <c r="B170" s="49">
        <v>15.0</v>
      </c>
      <c r="C170" s="49">
        <v>4.0</v>
      </c>
      <c r="D170" s="49">
        <v>13.0</v>
      </c>
      <c r="E170" s="49">
        <v>169.0</v>
      </c>
      <c r="F170" s="50">
        <f t="shared" si="13"/>
        <v>164.1178735</v>
      </c>
      <c r="G170" s="51">
        <f t="shared" si="14"/>
        <v>4.88212654</v>
      </c>
      <c r="H170" s="51">
        <f t="shared" si="15"/>
        <v>23.83515955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49">
        <v>20.0</v>
      </c>
      <c r="B171" s="49">
        <v>15.0</v>
      </c>
      <c r="C171" s="49">
        <v>3.0</v>
      </c>
      <c r="D171" s="49">
        <v>11.0</v>
      </c>
      <c r="E171" s="49">
        <v>163.0</v>
      </c>
      <c r="F171" s="50">
        <f t="shared" si="13"/>
        <v>163.1839352</v>
      </c>
      <c r="G171" s="51">
        <f t="shared" si="14"/>
        <v>-0.1839352061</v>
      </c>
      <c r="H171" s="51">
        <f t="shared" si="15"/>
        <v>0.03383216003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55">
        <v>5.0</v>
      </c>
      <c r="B172" s="49">
        <v>16.0</v>
      </c>
      <c r="C172" s="49">
        <v>3.0</v>
      </c>
      <c r="D172" s="49">
        <v>12.0</v>
      </c>
      <c r="E172" s="49">
        <v>176.0</v>
      </c>
      <c r="F172" s="50">
        <f t="shared" si="13"/>
        <v>168.2189552</v>
      </c>
      <c r="G172" s="51">
        <f t="shared" si="14"/>
        <v>7.781044835</v>
      </c>
      <c r="H172" s="51">
        <f t="shared" si="15"/>
        <v>60.54465873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49">
        <v>14.0</v>
      </c>
      <c r="B173" s="49">
        <v>16.0</v>
      </c>
      <c r="C173" s="49">
        <v>5.0</v>
      </c>
      <c r="D173" s="49">
        <v>11.0</v>
      </c>
      <c r="E173" s="49">
        <v>186.0</v>
      </c>
      <c r="F173" s="50">
        <f t="shared" si="13"/>
        <v>182.9782183</v>
      </c>
      <c r="G173" s="51">
        <f t="shared" si="14"/>
        <v>3.021781738</v>
      </c>
      <c r="H173" s="51">
        <f t="shared" si="15"/>
        <v>9.131164874</v>
      </c>
    </row>
    <row r="174">
      <c r="A174" s="49">
        <v>2.0</v>
      </c>
      <c r="B174" s="49">
        <v>17.0</v>
      </c>
      <c r="C174" s="49">
        <v>5.0</v>
      </c>
      <c r="D174" s="49">
        <v>12.0</v>
      </c>
      <c r="E174" s="49">
        <v>182.0</v>
      </c>
      <c r="F174" s="50">
        <f t="shared" si="13"/>
        <v>188.0132382</v>
      </c>
      <c r="G174" s="51">
        <f t="shared" si="14"/>
        <v>-6.01323822</v>
      </c>
      <c r="H174" s="51">
        <f t="shared" si="15"/>
        <v>36.15903389</v>
      </c>
    </row>
    <row r="175">
      <c r="A175" s="49">
        <v>15.0</v>
      </c>
      <c r="B175" s="49">
        <v>17.0</v>
      </c>
      <c r="C175" s="49">
        <v>5.0</v>
      </c>
      <c r="D175" s="49">
        <v>10.0</v>
      </c>
      <c r="E175" s="49">
        <v>201.0</v>
      </c>
      <c r="F175" s="50">
        <f t="shared" si="13"/>
        <v>193.1697929</v>
      </c>
      <c r="G175" s="51">
        <f t="shared" si="14"/>
        <v>7.830207144</v>
      </c>
      <c r="H175" s="51">
        <f t="shared" si="15"/>
        <v>61.31214392</v>
      </c>
    </row>
    <row r="180">
      <c r="A180" s="26" t="s">
        <v>81</v>
      </c>
    </row>
    <row r="182">
      <c r="A182" s="1" t="s">
        <v>0</v>
      </c>
      <c r="B182" s="2" t="s">
        <v>1</v>
      </c>
      <c r="C182" s="20" t="s">
        <v>82</v>
      </c>
      <c r="D182" s="20" t="s">
        <v>83</v>
      </c>
      <c r="K182" s="1" t="s">
        <v>0</v>
      </c>
      <c r="L182" s="2" t="s">
        <v>2</v>
      </c>
      <c r="M182" s="20" t="s">
        <v>84</v>
      </c>
      <c r="N182" s="20" t="s">
        <v>83</v>
      </c>
      <c r="V182" s="1" t="s">
        <v>0</v>
      </c>
      <c r="W182" s="2" t="s">
        <v>3</v>
      </c>
      <c r="X182" s="20" t="s">
        <v>85</v>
      </c>
      <c r="Y182" s="20" t="s">
        <v>83</v>
      </c>
    </row>
    <row r="183">
      <c r="A183" s="4">
        <v>1.0</v>
      </c>
      <c r="B183" s="4">
        <v>12.0</v>
      </c>
      <c r="C183" s="24">
        <f t="shared" ref="C183:C202" si="16">LN(B183)</f>
        <v>2.48490665</v>
      </c>
      <c r="D183" s="24">
        <f t="shared" ref="D183:D202" si="17">LN($C51^2)</f>
        <v>2.189464503</v>
      </c>
      <c r="K183" s="4">
        <v>1.0</v>
      </c>
      <c r="L183" s="4">
        <v>2.0</v>
      </c>
      <c r="M183" s="24">
        <f t="shared" ref="M183:M202" si="18">LN(L183)</f>
        <v>0.6931471806</v>
      </c>
      <c r="N183" s="24">
        <f t="shared" ref="N183:N202" si="19">LN($C51^2)</f>
        <v>2.189464503</v>
      </c>
      <c r="V183" s="4">
        <v>1.0</v>
      </c>
      <c r="W183" s="4">
        <v>8.0</v>
      </c>
      <c r="X183" s="24">
        <f t="shared" ref="X183:X202" si="20">LN(W183)</f>
        <v>2.079441542</v>
      </c>
      <c r="Y183" s="24">
        <f t="shared" ref="Y183:Y202" si="21">LN($C51^2)</f>
        <v>2.189464503</v>
      </c>
    </row>
    <row r="184">
      <c r="A184" s="4">
        <v>2.0</v>
      </c>
      <c r="B184" s="4">
        <v>17.0</v>
      </c>
      <c r="C184" s="24">
        <f t="shared" si="16"/>
        <v>2.833213344</v>
      </c>
      <c r="D184" s="24">
        <f t="shared" si="17"/>
        <v>3.587926818</v>
      </c>
      <c r="K184" s="4">
        <v>2.0</v>
      </c>
      <c r="L184" s="4">
        <v>5.0</v>
      </c>
      <c r="M184" s="24">
        <f t="shared" si="18"/>
        <v>1.609437912</v>
      </c>
      <c r="N184" s="24">
        <f t="shared" si="19"/>
        <v>3.587926818</v>
      </c>
      <c r="V184" s="4">
        <v>2.0</v>
      </c>
      <c r="W184" s="4">
        <v>12.0</v>
      </c>
      <c r="X184" s="24">
        <f t="shared" si="20"/>
        <v>2.48490665</v>
      </c>
      <c r="Y184" s="24">
        <f t="shared" si="21"/>
        <v>3.587926818</v>
      </c>
    </row>
    <row r="185">
      <c r="A185" s="4">
        <v>3.0</v>
      </c>
      <c r="B185" s="4">
        <v>14.0</v>
      </c>
      <c r="C185" s="24">
        <f t="shared" si="16"/>
        <v>2.63905733</v>
      </c>
      <c r="D185" s="24">
        <f t="shared" si="17"/>
        <v>4.573341579</v>
      </c>
      <c r="K185" s="4">
        <v>3.0</v>
      </c>
      <c r="L185" s="4">
        <v>6.0</v>
      </c>
      <c r="M185" s="24">
        <f t="shared" si="18"/>
        <v>1.791759469</v>
      </c>
      <c r="N185" s="24">
        <f t="shared" si="19"/>
        <v>4.573341579</v>
      </c>
      <c r="V185" s="4">
        <v>3.0</v>
      </c>
      <c r="W185" s="4">
        <v>11.0</v>
      </c>
      <c r="X185" s="24">
        <f t="shared" si="20"/>
        <v>2.397895273</v>
      </c>
      <c r="Y185" s="24">
        <f t="shared" si="21"/>
        <v>4.573341579</v>
      </c>
    </row>
    <row r="186">
      <c r="A186" s="4">
        <v>4.0</v>
      </c>
      <c r="B186" s="4">
        <v>13.0</v>
      </c>
      <c r="C186" s="24">
        <f t="shared" si="16"/>
        <v>2.564949357</v>
      </c>
      <c r="D186" s="24">
        <f t="shared" si="17"/>
        <v>4.439360693</v>
      </c>
      <c r="K186" s="4">
        <v>4.0</v>
      </c>
      <c r="L186" s="4">
        <v>4.0</v>
      </c>
      <c r="M186" s="24">
        <f t="shared" si="18"/>
        <v>1.386294361</v>
      </c>
      <c r="N186" s="24">
        <f t="shared" si="19"/>
        <v>4.439360693</v>
      </c>
      <c r="V186" s="4">
        <v>4.0</v>
      </c>
      <c r="W186" s="4">
        <v>9.0</v>
      </c>
      <c r="X186" s="24">
        <f t="shared" si="20"/>
        <v>2.197224577</v>
      </c>
      <c r="Y186" s="24">
        <f t="shared" si="21"/>
        <v>4.439360693</v>
      </c>
    </row>
    <row r="187">
      <c r="A187" s="4">
        <v>5.0</v>
      </c>
      <c r="B187" s="4">
        <v>16.0</v>
      </c>
      <c r="C187" s="24">
        <f t="shared" si="16"/>
        <v>2.772588722</v>
      </c>
      <c r="D187" s="24">
        <f t="shared" si="17"/>
        <v>4.103381254</v>
      </c>
      <c r="K187" s="4">
        <v>5.0</v>
      </c>
      <c r="L187" s="4">
        <v>3.0</v>
      </c>
      <c r="M187" s="24">
        <f t="shared" si="18"/>
        <v>1.098612289</v>
      </c>
      <c r="N187" s="24">
        <f t="shared" si="19"/>
        <v>4.103381254</v>
      </c>
      <c r="V187" s="4">
        <v>5.0</v>
      </c>
      <c r="W187" s="4">
        <v>12.0</v>
      </c>
      <c r="X187" s="24">
        <f t="shared" si="20"/>
        <v>2.48490665</v>
      </c>
      <c r="Y187" s="24">
        <f t="shared" si="21"/>
        <v>4.103381254</v>
      </c>
    </row>
    <row r="188">
      <c r="A188" s="4">
        <v>6.0</v>
      </c>
      <c r="B188" s="4">
        <v>15.0</v>
      </c>
      <c r="C188" s="24">
        <f t="shared" si="16"/>
        <v>2.708050201</v>
      </c>
      <c r="D188" s="24">
        <f t="shared" si="17"/>
        <v>3.49840077</v>
      </c>
      <c r="K188" s="4">
        <v>6.0</v>
      </c>
      <c r="L188" s="4">
        <v>2.0</v>
      </c>
      <c r="M188" s="24">
        <f t="shared" si="18"/>
        <v>0.6931471806</v>
      </c>
      <c r="N188" s="24">
        <f t="shared" si="19"/>
        <v>3.49840077</v>
      </c>
      <c r="V188" s="4">
        <v>6.0</v>
      </c>
      <c r="W188" s="4">
        <v>9.0</v>
      </c>
      <c r="X188" s="24">
        <f t="shared" si="20"/>
        <v>2.197224577</v>
      </c>
      <c r="Y188" s="24">
        <f t="shared" si="21"/>
        <v>3.49840077</v>
      </c>
    </row>
    <row r="189">
      <c r="A189" s="4">
        <v>7.0</v>
      </c>
      <c r="B189" s="4">
        <v>13.0</v>
      </c>
      <c r="C189" s="24">
        <f t="shared" si="16"/>
        <v>2.564949357</v>
      </c>
      <c r="D189" s="24">
        <f t="shared" si="17"/>
        <v>2.86678684</v>
      </c>
      <c r="K189" s="4">
        <v>7.0</v>
      </c>
      <c r="L189" s="4">
        <v>6.0</v>
      </c>
      <c r="M189" s="24">
        <f t="shared" si="18"/>
        <v>1.791759469</v>
      </c>
      <c r="N189" s="24">
        <f t="shared" si="19"/>
        <v>2.86678684</v>
      </c>
      <c r="V189" s="4">
        <v>7.0</v>
      </c>
      <c r="W189" s="4">
        <v>10.0</v>
      </c>
      <c r="X189" s="24">
        <f t="shared" si="20"/>
        <v>2.302585093</v>
      </c>
      <c r="Y189" s="24">
        <f t="shared" si="21"/>
        <v>2.86678684</v>
      </c>
    </row>
    <row r="190">
      <c r="A190" s="4">
        <v>8.0</v>
      </c>
      <c r="B190" s="4">
        <v>11.0</v>
      </c>
      <c r="C190" s="24">
        <f t="shared" si="16"/>
        <v>2.397895273</v>
      </c>
      <c r="D190" s="24">
        <f t="shared" si="17"/>
        <v>3.314482897</v>
      </c>
      <c r="K190" s="4">
        <v>8.0</v>
      </c>
      <c r="L190" s="4">
        <v>5.0</v>
      </c>
      <c r="M190" s="24">
        <f t="shared" si="18"/>
        <v>1.609437912</v>
      </c>
      <c r="N190" s="24">
        <f t="shared" si="19"/>
        <v>3.314482897</v>
      </c>
      <c r="V190" s="4">
        <v>8.0</v>
      </c>
      <c r="W190" s="4">
        <v>13.0</v>
      </c>
      <c r="X190" s="24">
        <f t="shared" si="20"/>
        <v>2.564949357</v>
      </c>
      <c r="Y190" s="24">
        <f t="shared" si="21"/>
        <v>3.314482897</v>
      </c>
    </row>
    <row r="191">
      <c r="A191" s="4">
        <v>9.0</v>
      </c>
      <c r="B191" s="4">
        <v>15.0</v>
      </c>
      <c r="C191" s="24">
        <f t="shared" si="16"/>
        <v>2.708050201</v>
      </c>
      <c r="D191" s="24">
        <f t="shared" si="17"/>
        <v>2.293086445</v>
      </c>
      <c r="K191" s="4">
        <v>9.0</v>
      </c>
      <c r="L191" s="4">
        <v>4.0</v>
      </c>
      <c r="M191" s="24">
        <f t="shared" si="18"/>
        <v>1.386294361</v>
      </c>
      <c r="N191" s="24">
        <f t="shared" si="19"/>
        <v>2.293086445</v>
      </c>
      <c r="V191" s="4">
        <v>9.0</v>
      </c>
      <c r="W191" s="4">
        <v>10.0</v>
      </c>
      <c r="X191" s="24">
        <f t="shared" si="20"/>
        <v>2.302585093</v>
      </c>
      <c r="Y191" s="24">
        <f t="shared" si="21"/>
        <v>2.293086445</v>
      </c>
    </row>
    <row r="192">
      <c r="A192" s="4">
        <v>10.0</v>
      </c>
      <c r="B192" s="4">
        <v>13.0</v>
      </c>
      <c r="C192" s="24">
        <f t="shared" si="16"/>
        <v>2.564949357</v>
      </c>
      <c r="D192" s="24">
        <f t="shared" si="17"/>
        <v>4.444662246</v>
      </c>
      <c r="K192" s="4">
        <v>10.0</v>
      </c>
      <c r="L192" s="4">
        <v>6.0</v>
      </c>
      <c r="M192" s="24">
        <f t="shared" si="18"/>
        <v>1.791759469</v>
      </c>
      <c r="N192" s="24">
        <f t="shared" si="19"/>
        <v>4.444662246</v>
      </c>
      <c r="V192" s="4">
        <v>10.0</v>
      </c>
      <c r="W192" s="4">
        <v>11.0</v>
      </c>
      <c r="X192" s="24">
        <f t="shared" si="20"/>
        <v>2.397895273</v>
      </c>
      <c r="Y192" s="24">
        <f t="shared" si="21"/>
        <v>4.444662246</v>
      </c>
    </row>
    <row r="193">
      <c r="A193" s="4">
        <v>11.0</v>
      </c>
      <c r="B193" s="4">
        <v>12.0</v>
      </c>
      <c r="C193" s="24">
        <f t="shared" si="16"/>
        <v>2.48490665</v>
      </c>
      <c r="D193" s="24">
        <f t="shared" si="17"/>
        <v>2.05222455</v>
      </c>
      <c r="K193" s="4">
        <v>11.0</v>
      </c>
      <c r="L193" s="4">
        <v>5.0</v>
      </c>
      <c r="M193" s="24">
        <f t="shared" si="18"/>
        <v>1.609437912</v>
      </c>
      <c r="N193" s="24">
        <f t="shared" si="19"/>
        <v>2.05222455</v>
      </c>
      <c r="V193" s="4">
        <v>11.0</v>
      </c>
      <c r="W193" s="4">
        <v>14.0</v>
      </c>
      <c r="X193" s="24">
        <f t="shared" si="20"/>
        <v>2.63905733</v>
      </c>
      <c r="Y193" s="24">
        <f t="shared" si="21"/>
        <v>2.05222455</v>
      </c>
    </row>
    <row r="194">
      <c r="A194" s="4">
        <v>12.0</v>
      </c>
      <c r="B194" s="4">
        <v>15.0</v>
      </c>
      <c r="C194" s="24">
        <f t="shared" si="16"/>
        <v>2.708050201</v>
      </c>
      <c r="D194" s="24">
        <f t="shared" si="17"/>
        <v>2.985405119</v>
      </c>
      <c r="K194" s="4">
        <v>12.0</v>
      </c>
      <c r="L194" s="4">
        <v>3.0</v>
      </c>
      <c r="M194" s="24">
        <f t="shared" si="18"/>
        <v>1.098612289</v>
      </c>
      <c r="N194" s="24">
        <f t="shared" si="19"/>
        <v>2.985405119</v>
      </c>
      <c r="V194" s="4">
        <v>12.0</v>
      </c>
      <c r="W194" s="4">
        <v>14.0</v>
      </c>
      <c r="X194" s="24">
        <f t="shared" si="20"/>
        <v>2.63905733</v>
      </c>
      <c r="Y194" s="24">
        <f t="shared" si="21"/>
        <v>2.985405119</v>
      </c>
    </row>
    <row r="195">
      <c r="A195" s="4">
        <v>13.0</v>
      </c>
      <c r="B195" s="4">
        <v>13.0</v>
      </c>
      <c r="C195" s="24">
        <f t="shared" si="16"/>
        <v>2.564949357</v>
      </c>
      <c r="D195" s="24">
        <f t="shared" si="17"/>
        <v>0.9421058037</v>
      </c>
      <c r="K195" s="4">
        <v>13.0</v>
      </c>
      <c r="L195" s="4">
        <v>2.0</v>
      </c>
      <c r="M195" s="24">
        <f t="shared" si="18"/>
        <v>0.6931471806</v>
      </c>
      <c r="N195" s="24">
        <f t="shared" si="19"/>
        <v>0.9421058037</v>
      </c>
      <c r="V195" s="4">
        <v>13.0</v>
      </c>
      <c r="W195" s="4">
        <v>8.0</v>
      </c>
      <c r="X195" s="24">
        <f t="shared" si="20"/>
        <v>2.079441542</v>
      </c>
      <c r="Y195" s="24">
        <f t="shared" si="21"/>
        <v>0.9421058037</v>
      </c>
    </row>
    <row r="196">
      <c r="A196" s="4">
        <v>14.0</v>
      </c>
      <c r="B196" s="4">
        <v>16.0</v>
      </c>
      <c r="C196" s="24">
        <f t="shared" si="16"/>
        <v>2.772588722</v>
      </c>
      <c r="D196" s="24">
        <f t="shared" si="17"/>
        <v>2.211693274</v>
      </c>
      <c r="K196" s="4">
        <v>14.0</v>
      </c>
      <c r="L196" s="4">
        <v>5.0</v>
      </c>
      <c r="M196" s="24">
        <f t="shared" si="18"/>
        <v>1.609437912</v>
      </c>
      <c r="N196" s="24">
        <f t="shared" si="19"/>
        <v>2.211693274</v>
      </c>
      <c r="V196" s="4">
        <v>14.0</v>
      </c>
      <c r="W196" s="4">
        <v>11.0</v>
      </c>
      <c r="X196" s="24">
        <f t="shared" si="20"/>
        <v>2.397895273</v>
      </c>
      <c r="Y196" s="24">
        <f t="shared" si="21"/>
        <v>2.211693274</v>
      </c>
    </row>
    <row r="197">
      <c r="A197" s="4">
        <v>15.0</v>
      </c>
      <c r="B197" s="4">
        <v>17.0</v>
      </c>
      <c r="C197" s="24">
        <f t="shared" si="16"/>
        <v>2.833213344</v>
      </c>
      <c r="D197" s="24">
        <f t="shared" si="17"/>
        <v>4.11597793</v>
      </c>
      <c r="K197" s="4">
        <v>15.0</v>
      </c>
      <c r="L197" s="4">
        <v>5.0</v>
      </c>
      <c r="M197" s="24">
        <f t="shared" si="18"/>
        <v>1.609437912</v>
      </c>
      <c r="N197" s="24">
        <f t="shared" si="19"/>
        <v>4.11597793</v>
      </c>
      <c r="V197" s="4">
        <v>15.0</v>
      </c>
      <c r="W197" s="4">
        <v>10.0</v>
      </c>
      <c r="X197" s="24">
        <f t="shared" si="20"/>
        <v>2.302585093</v>
      </c>
      <c r="Y197" s="24">
        <f t="shared" si="21"/>
        <v>4.11597793</v>
      </c>
    </row>
    <row r="198">
      <c r="A198" s="4">
        <v>16.0</v>
      </c>
      <c r="B198" s="4">
        <v>15.0</v>
      </c>
      <c r="C198" s="24">
        <f t="shared" si="16"/>
        <v>2.708050201</v>
      </c>
      <c r="D198" s="24">
        <f t="shared" si="17"/>
        <v>3.171161783</v>
      </c>
      <c r="K198" s="4">
        <v>16.0</v>
      </c>
      <c r="L198" s="4">
        <v>4.0</v>
      </c>
      <c r="M198" s="24">
        <f t="shared" si="18"/>
        <v>1.386294361</v>
      </c>
      <c r="N198" s="24">
        <f t="shared" si="19"/>
        <v>3.171161783</v>
      </c>
      <c r="V198" s="4">
        <v>16.0</v>
      </c>
      <c r="W198" s="4">
        <v>13.0</v>
      </c>
      <c r="X198" s="24">
        <f t="shared" si="20"/>
        <v>2.564949357</v>
      </c>
      <c r="Y198" s="24">
        <f t="shared" si="21"/>
        <v>3.171161783</v>
      </c>
    </row>
    <row r="199">
      <c r="A199" s="4">
        <v>17.0</v>
      </c>
      <c r="B199" s="4">
        <v>11.0</v>
      </c>
      <c r="C199" s="24">
        <f t="shared" si="16"/>
        <v>2.397895273</v>
      </c>
      <c r="D199" s="24">
        <f t="shared" si="17"/>
        <v>5.743345526</v>
      </c>
      <c r="K199" s="4">
        <v>17.0</v>
      </c>
      <c r="L199" s="4">
        <v>5.0</v>
      </c>
      <c r="M199" s="24">
        <f t="shared" si="18"/>
        <v>1.609437912</v>
      </c>
      <c r="N199" s="24">
        <f t="shared" si="19"/>
        <v>5.743345526</v>
      </c>
      <c r="V199" s="4">
        <v>17.0</v>
      </c>
      <c r="W199" s="4">
        <v>12.0</v>
      </c>
      <c r="X199" s="24">
        <f t="shared" si="20"/>
        <v>2.48490665</v>
      </c>
      <c r="Y199" s="24">
        <f t="shared" si="21"/>
        <v>5.743345526</v>
      </c>
    </row>
    <row r="200">
      <c r="A200" s="4">
        <v>18.0</v>
      </c>
      <c r="B200" s="4">
        <v>14.0</v>
      </c>
      <c r="C200" s="24">
        <f t="shared" si="16"/>
        <v>2.63905733</v>
      </c>
      <c r="D200" s="24">
        <f t="shared" si="17"/>
        <v>4.179489933</v>
      </c>
      <c r="K200" s="4">
        <v>18.0</v>
      </c>
      <c r="L200" s="4">
        <v>4.0</v>
      </c>
      <c r="M200" s="24">
        <f t="shared" si="18"/>
        <v>1.386294361</v>
      </c>
      <c r="N200" s="24">
        <f t="shared" si="19"/>
        <v>4.179489933</v>
      </c>
      <c r="V200" s="4">
        <v>18.0</v>
      </c>
      <c r="W200" s="4">
        <v>12.0</v>
      </c>
      <c r="X200" s="24">
        <f t="shared" si="20"/>
        <v>2.48490665</v>
      </c>
      <c r="Y200" s="24">
        <f t="shared" si="21"/>
        <v>4.179489933</v>
      </c>
    </row>
    <row r="201">
      <c r="A201" s="4">
        <v>19.0</v>
      </c>
      <c r="B201" s="4">
        <v>13.0</v>
      </c>
      <c r="C201" s="24">
        <f t="shared" si="16"/>
        <v>2.564949357</v>
      </c>
      <c r="D201" s="24">
        <f t="shared" si="17"/>
        <v>3.270997055</v>
      </c>
      <c r="K201" s="4">
        <v>19.0</v>
      </c>
      <c r="L201" s="4">
        <v>2.0</v>
      </c>
      <c r="M201" s="24">
        <f t="shared" si="18"/>
        <v>0.6931471806</v>
      </c>
      <c r="N201" s="24">
        <f t="shared" si="19"/>
        <v>3.270997055</v>
      </c>
      <c r="V201" s="4">
        <v>19.0</v>
      </c>
      <c r="W201" s="4">
        <v>14.0</v>
      </c>
      <c r="X201" s="24">
        <f t="shared" si="20"/>
        <v>2.63905733</v>
      </c>
      <c r="Y201" s="24">
        <f t="shared" si="21"/>
        <v>3.270997055</v>
      </c>
    </row>
    <row r="202">
      <c r="A202" s="4">
        <v>20.0</v>
      </c>
      <c r="B202" s="4">
        <v>15.0</v>
      </c>
      <c r="C202" s="24">
        <f t="shared" si="16"/>
        <v>2.708050201</v>
      </c>
      <c r="D202" s="24">
        <f t="shared" si="17"/>
        <v>-3.386343449</v>
      </c>
      <c r="K202" s="4">
        <v>20.0</v>
      </c>
      <c r="L202" s="4">
        <v>3.0</v>
      </c>
      <c r="M202" s="24">
        <f t="shared" si="18"/>
        <v>1.098612289</v>
      </c>
      <c r="N202" s="24">
        <f t="shared" si="19"/>
        <v>-3.386343449</v>
      </c>
      <c r="V202" s="4">
        <v>20.0</v>
      </c>
      <c r="W202" s="4">
        <v>11.0</v>
      </c>
      <c r="X202" s="24">
        <f t="shared" si="20"/>
        <v>2.397895273</v>
      </c>
      <c r="Y202" s="24">
        <f t="shared" si="21"/>
        <v>-3.386343449</v>
      </c>
    </row>
    <row r="205">
      <c r="A205" s="26" t="s">
        <v>6</v>
      </c>
      <c r="K205" s="26" t="s">
        <v>6</v>
      </c>
      <c r="V205" s="26" t="s">
        <v>6</v>
      </c>
    </row>
    <row r="207">
      <c r="A207" s="56" t="s">
        <v>58</v>
      </c>
      <c r="B207" s="57"/>
      <c r="K207" s="56" t="s">
        <v>58</v>
      </c>
      <c r="L207" s="57"/>
      <c r="V207" s="56" t="s">
        <v>58</v>
      </c>
      <c r="W207" s="57"/>
    </row>
    <row r="208">
      <c r="A208" s="26" t="s">
        <v>8</v>
      </c>
      <c r="B208" s="58">
        <v>0.130012122637894</v>
      </c>
      <c r="K208" s="26" t="s">
        <v>8</v>
      </c>
      <c r="L208" s="58">
        <v>0.34944033076308534</v>
      </c>
      <c r="V208" s="26" t="s">
        <v>8</v>
      </c>
      <c r="W208" s="58">
        <v>0.1458663217799848</v>
      </c>
    </row>
    <row r="209">
      <c r="A209" s="26" t="s">
        <v>9</v>
      </c>
      <c r="B209" s="58">
        <v>0.016903152032810786</v>
      </c>
      <c r="K209" s="26" t="s">
        <v>9</v>
      </c>
      <c r="L209" s="58">
        <v>0.1221085447638145</v>
      </c>
      <c r="V209" s="26" t="s">
        <v>9</v>
      </c>
      <c r="W209" s="58">
        <v>0.021276983829622065</v>
      </c>
    </row>
    <row r="210">
      <c r="A210" s="26" t="s">
        <v>10</v>
      </c>
      <c r="B210" s="58">
        <v>-0.03771333952092193</v>
      </c>
      <c r="K210" s="26" t="s">
        <v>10</v>
      </c>
      <c r="L210" s="58">
        <v>0.07333679725069309</v>
      </c>
      <c r="V210" s="26" t="s">
        <v>10</v>
      </c>
      <c r="W210" s="58">
        <v>-0.03309651706873229</v>
      </c>
    </row>
    <row r="211">
      <c r="A211" s="26" t="s">
        <v>11</v>
      </c>
      <c r="B211" s="58">
        <v>1.9058766636175357</v>
      </c>
      <c r="K211" s="26" t="s">
        <v>11</v>
      </c>
      <c r="L211" s="58">
        <v>1.8010138455638558</v>
      </c>
      <c r="V211" s="26" t="s">
        <v>11</v>
      </c>
      <c r="W211" s="58">
        <v>1.9016322819870861</v>
      </c>
    </row>
    <row r="212">
      <c r="A212" s="59" t="s">
        <v>12</v>
      </c>
      <c r="B212" s="60">
        <v>20.0</v>
      </c>
      <c r="K212" s="59" t="s">
        <v>12</v>
      </c>
      <c r="L212" s="60">
        <v>20.0</v>
      </c>
      <c r="V212" s="59" t="s">
        <v>12</v>
      </c>
      <c r="W212" s="60">
        <v>20.0</v>
      </c>
    </row>
    <row r="214">
      <c r="A214" s="26" t="s">
        <v>13</v>
      </c>
      <c r="K214" s="26" t="s">
        <v>13</v>
      </c>
      <c r="V214" s="26" t="s">
        <v>13</v>
      </c>
    </row>
    <row r="215">
      <c r="A215" s="57"/>
      <c r="B215" s="56" t="s">
        <v>14</v>
      </c>
      <c r="C215" s="56" t="s">
        <v>15</v>
      </c>
      <c r="D215" s="56" t="s">
        <v>16</v>
      </c>
      <c r="E215" s="56" t="s">
        <v>17</v>
      </c>
      <c r="F215" s="56" t="s">
        <v>18</v>
      </c>
      <c r="K215" s="57"/>
      <c r="L215" s="56" t="s">
        <v>14</v>
      </c>
      <c r="M215" s="56" t="s">
        <v>15</v>
      </c>
      <c r="N215" s="56" t="s">
        <v>16</v>
      </c>
      <c r="O215" s="56" t="s">
        <v>17</v>
      </c>
      <c r="P215" s="56" t="s">
        <v>18</v>
      </c>
      <c r="V215" s="57"/>
      <c r="W215" s="56" t="s">
        <v>14</v>
      </c>
      <c r="X215" s="56" t="s">
        <v>15</v>
      </c>
      <c r="Y215" s="56" t="s">
        <v>16</v>
      </c>
      <c r="Z215" s="56" t="s">
        <v>17</v>
      </c>
      <c r="AA215" s="56" t="s">
        <v>18</v>
      </c>
      <c r="AB215" s="61"/>
      <c r="AC215" s="61"/>
      <c r="AD215" s="61"/>
    </row>
    <row r="216">
      <c r="A216" s="26" t="s">
        <v>19</v>
      </c>
      <c r="B216" s="58">
        <v>1.0</v>
      </c>
      <c r="C216" s="58">
        <v>1.1241738634554537</v>
      </c>
      <c r="D216" s="58">
        <v>1.1241738634554537</v>
      </c>
      <c r="E216" s="58">
        <v>0.30948806032663406</v>
      </c>
      <c r="F216" s="58">
        <v>0.5848448519204544</v>
      </c>
      <c r="K216" s="26" t="s">
        <v>19</v>
      </c>
      <c r="L216" s="58">
        <v>1.0</v>
      </c>
      <c r="M216" s="58">
        <v>8.121043593621067</v>
      </c>
      <c r="N216" s="58">
        <v>8.121043593621067</v>
      </c>
      <c r="O216" s="58">
        <v>2.503673765861327</v>
      </c>
      <c r="P216" s="58">
        <v>0.13099278790122015</v>
      </c>
      <c r="V216" s="26" t="s">
        <v>19</v>
      </c>
      <c r="W216" s="58">
        <v>1.0</v>
      </c>
      <c r="X216" s="58">
        <v>1.4150632419324012</v>
      </c>
      <c r="Y216" s="58">
        <v>1.4150632419324012</v>
      </c>
      <c r="Z216" s="58">
        <v>0.3913116403778592</v>
      </c>
      <c r="AA216" s="58">
        <v>0.5394618275590858</v>
      </c>
    </row>
    <row r="217">
      <c r="A217" s="26" t="s">
        <v>20</v>
      </c>
      <c r="B217" s="58">
        <v>18.0</v>
      </c>
      <c r="C217" s="58">
        <v>65.38258542459437</v>
      </c>
      <c r="D217" s="58">
        <v>3.6323658569219095</v>
      </c>
      <c r="K217" s="26" t="s">
        <v>20</v>
      </c>
      <c r="L217" s="58">
        <v>18.0</v>
      </c>
      <c r="M217" s="58">
        <v>58.385715694428754</v>
      </c>
      <c r="N217" s="58">
        <v>3.2436508719127084</v>
      </c>
      <c r="V217" s="26" t="s">
        <v>20</v>
      </c>
      <c r="W217" s="58">
        <v>18.0</v>
      </c>
      <c r="X217" s="58">
        <v>65.09169604611742</v>
      </c>
      <c r="Y217" s="58">
        <v>3.6162053358954123</v>
      </c>
    </row>
    <row r="218">
      <c r="A218" s="59" t="s">
        <v>21</v>
      </c>
      <c r="B218" s="60">
        <v>19.0</v>
      </c>
      <c r="C218" s="60">
        <v>66.50675928804982</v>
      </c>
      <c r="D218" s="62"/>
      <c r="E218" s="62"/>
      <c r="F218" s="62"/>
      <c r="K218" s="59" t="s">
        <v>21</v>
      </c>
      <c r="L218" s="60">
        <v>19.0</v>
      </c>
      <c r="M218" s="60">
        <v>66.50675928804982</v>
      </c>
      <c r="N218" s="62"/>
      <c r="O218" s="62"/>
      <c r="P218" s="62"/>
      <c r="V218" s="59" t="s">
        <v>21</v>
      </c>
      <c r="W218" s="60">
        <v>19.0</v>
      </c>
      <c r="X218" s="60">
        <v>66.50675928804982</v>
      </c>
      <c r="Y218" s="62"/>
      <c r="Z218" s="62"/>
      <c r="AA218" s="62"/>
    </row>
    <row r="220">
      <c r="A220" s="57"/>
      <c r="B220" s="56" t="s">
        <v>22</v>
      </c>
      <c r="C220" s="56" t="s">
        <v>11</v>
      </c>
      <c r="D220" s="56" t="s">
        <v>23</v>
      </c>
      <c r="E220" s="56" t="s">
        <v>24</v>
      </c>
      <c r="F220" s="56" t="s">
        <v>25</v>
      </c>
      <c r="G220" s="56" t="s">
        <v>26</v>
      </c>
      <c r="H220" s="56" t="s">
        <v>25</v>
      </c>
      <c r="I220" s="56" t="s">
        <v>26</v>
      </c>
      <c r="K220" s="57"/>
      <c r="L220" s="56" t="s">
        <v>22</v>
      </c>
      <c r="M220" s="56" t="s">
        <v>11</v>
      </c>
      <c r="N220" s="56" t="s">
        <v>23</v>
      </c>
      <c r="O220" s="56" t="s">
        <v>24</v>
      </c>
      <c r="P220" s="56" t="s">
        <v>25</v>
      </c>
      <c r="Q220" s="56" t="s">
        <v>26</v>
      </c>
      <c r="R220" s="56" t="s">
        <v>25</v>
      </c>
      <c r="S220" s="56" t="s">
        <v>26</v>
      </c>
      <c r="V220" s="57"/>
      <c r="W220" s="56" t="s">
        <v>22</v>
      </c>
      <c r="X220" s="56" t="s">
        <v>11</v>
      </c>
      <c r="Y220" s="56" t="s">
        <v>23</v>
      </c>
      <c r="Z220" s="56" t="s">
        <v>24</v>
      </c>
      <c r="AA220" s="56" t="s">
        <v>25</v>
      </c>
      <c r="AB220" s="56" t="s">
        <v>26</v>
      </c>
      <c r="AC220" s="56" t="s">
        <v>25</v>
      </c>
      <c r="AD220" s="56" t="s">
        <v>26</v>
      </c>
    </row>
    <row r="221">
      <c r="A221" s="26" t="s">
        <v>27</v>
      </c>
      <c r="B221" s="58">
        <v>7.924132354891981</v>
      </c>
      <c r="C221" s="58">
        <v>8.807978182013388</v>
      </c>
      <c r="D221" s="58">
        <v>0.8996539490837645</v>
      </c>
      <c r="E221" s="58">
        <v>0.3801829740251738</v>
      </c>
      <c r="F221" s="58">
        <v>-10.580742913452287</v>
      </c>
      <c r="G221" s="58">
        <v>26.42900762323625</v>
      </c>
      <c r="H221" s="58">
        <v>-10.580742913452287</v>
      </c>
      <c r="I221" s="58">
        <v>26.42900762323625</v>
      </c>
      <c r="K221" s="26" t="s">
        <v>27</v>
      </c>
      <c r="L221" s="58">
        <v>0.801801318267934</v>
      </c>
      <c r="M221" s="58">
        <v>1.4645630462492571</v>
      </c>
      <c r="N221" s="58">
        <v>0.5474679429617901</v>
      </c>
      <c r="O221" s="58">
        <v>0.5907816626132917</v>
      </c>
      <c r="P221" s="58">
        <v>-2.2751314276387733</v>
      </c>
      <c r="Q221" s="58">
        <v>3.8787340641746413</v>
      </c>
      <c r="R221" s="58">
        <v>-2.2751314276387733</v>
      </c>
      <c r="S221" s="58">
        <v>3.8787340641746413</v>
      </c>
      <c r="V221" s="26" t="s">
        <v>27</v>
      </c>
      <c r="W221" s="58">
        <v>-0.751885329764491</v>
      </c>
      <c r="X221" s="58">
        <v>6.060397396585805</v>
      </c>
      <c r="Y221" s="58">
        <v>-0.12406535092699932</v>
      </c>
      <c r="Z221" s="58">
        <v>0.902638481954313</v>
      </c>
      <c r="AA221" s="58">
        <v>-13.484307638601699</v>
      </c>
      <c r="AB221" s="58">
        <v>11.980536979072717</v>
      </c>
      <c r="AC221" s="58">
        <v>-13.484307638601699</v>
      </c>
      <c r="AD221" s="58">
        <v>11.980536979072717</v>
      </c>
    </row>
    <row r="222">
      <c r="A222" s="59" t="s">
        <v>82</v>
      </c>
      <c r="B222" s="60">
        <v>-1.8602261394907487</v>
      </c>
      <c r="C222" s="60">
        <v>3.3438269455650493</v>
      </c>
      <c r="D222" s="60">
        <v>-0.556316510924103</v>
      </c>
      <c r="E222" s="60">
        <v>0.5848448521439967</v>
      </c>
      <c r="F222" s="60">
        <v>-8.885345783062068</v>
      </c>
      <c r="G222" s="60">
        <v>5.1648935040805695</v>
      </c>
      <c r="H222" s="60">
        <v>-8.885345783062068</v>
      </c>
      <c r="I222" s="60">
        <v>5.1648935040805695</v>
      </c>
      <c r="K222" s="59" t="s">
        <v>82</v>
      </c>
      <c r="L222" s="60">
        <v>1.6723615729273398</v>
      </c>
      <c r="M222" s="60">
        <v>1.0569180395616722</v>
      </c>
      <c r="N222" s="60">
        <v>1.5823001503701326</v>
      </c>
      <c r="O222" s="60">
        <v>0.1309927899762119</v>
      </c>
      <c r="P222" s="60">
        <v>-0.5481408042119464</v>
      </c>
      <c r="Q222" s="60">
        <v>3.892863950066626</v>
      </c>
      <c r="R222" s="60">
        <v>-0.5481408042119464</v>
      </c>
      <c r="S222" s="60">
        <v>3.892863950066626</v>
      </c>
      <c r="V222" s="59" t="s">
        <v>82</v>
      </c>
      <c r="W222" s="60">
        <v>1.5744308178658173</v>
      </c>
      <c r="X222" s="60">
        <v>2.5168781963809685</v>
      </c>
      <c r="Y222" s="60">
        <v>0.6255490711190153</v>
      </c>
      <c r="Z222" s="60">
        <v>0.5394618221042006</v>
      </c>
      <c r="AA222" s="60">
        <v>-3.713333993445147</v>
      </c>
      <c r="AB222" s="60">
        <v>6.862195629176782</v>
      </c>
      <c r="AC222" s="60">
        <v>-3.713333993445147</v>
      </c>
      <c r="AD222" s="60">
        <v>6.862195629176782</v>
      </c>
    </row>
    <row r="224">
      <c r="A224" s="26" t="s">
        <v>86</v>
      </c>
    </row>
    <row r="225">
      <c r="K225" s="26" t="s">
        <v>87</v>
      </c>
      <c r="V225" s="26" t="s">
        <v>87</v>
      </c>
    </row>
    <row r="226">
      <c r="A226" s="26" t="s">
        <v>87</v>
      </c>
    </row>
    <row r="227">
      <c r="A227" s="26" t="s">
        <v>88</v>
      </c>
    </row>
    <row r="229">
      <c r="A229" s="26" t="s">
        <v>89</v>
      </c>
    </row>
    <row r="230">
      <c r="A230" s="1" t="s">
        <v>32</v>
      </c>
      <c r="B230" s="2" t="s">
        <v>1</v>
      </c>
      <c r="C230" s="2" t="s">
        <v>2</v>
      </c>
      <c r="D230" s="2" t="s">
        <v>3</v>
      </c>
      <c r="E230" s="20" t="s">
        <v>90</v>
      </c>
      <c r="F230" s="20" t="s">
        <v>91</v>
      </c>
      <c r="G230" s="20" t="s">
        <v>92</v>
      </c>
      <c r="H230" s="20" t="s">
        <v>93</v>
      </c>
      <c r="I230" s="20" t="s">
        <v>94</v>
      </c>
      <c r="J230" s="20" t="s">
        <v>95</v>
      </c>
      <c r="K230" s="20" t="s">
        <v>63</v>
      </c>
    </row>
    <row r="231">
      <c r="A231" s="4">
        <v>1.0</v>
      </c>
      <c r="B231" s="4">
        <v>12.0</v>
      </c>
      <c r="C231" s="4">
        <v>2.0</v>
      </c>
      <c r="D231" s="4">
        <v>8.0</v>
      </c>
      <c r="E231" s="24">
        <f t="shared" ref="E231:G231" si="22">B231^2</f>
        <v>144</v>
      </c>
      <c r="F231" s="24">
        <f t="shared" si="22"/>
        <v>4</v>
      </c>
      <c r="G231" s="24">
        <f t="shared" si="22"/>
        <v>64</v>
      </c>
      <c r="H231" s="24">
        <f t="shared" ref="H231:H250" si="24">B231*C231</f>
        <v>24</v>
      </c>
      <c r="I231" s="24">
        <f t="shared" ref="I231:I250" si="25">B231*D231</f>
        <v>96</v>
      </c>
      <c r="J231" s="24">
        <f t="shared" ref="J231:J250" si="26">C231*D231</f>
        <v>16</v>
      </c>
      <c r="K231" s="24">
        <f t="shared" ref="K231:K250" si="27">H75</f>
        <v>8.930429612</v>
      </c>
    </row>
    <row r="232">
      <c r="A232" s="4">
        <v>2.0</v>
      </c>
      <c r="B232" s="4">
        <v>17.0</v>
      </c>
      <c r="C232" s="4">
        <v>5.0</v>
      </c>
      <c r="D232" s="4">
        <v>12.0</v>
      </c>
      <c r="E232" s="24">
        <f t="shared" ref="E232:G232" si="23">B232^2</f>
        <v>289</v>
      </c>
      <c r="F232" s="24">
        <f t="shared" si="23"/>
        <v>25</v>
      </c>
      <c r="G232" s="24">
        <f t="shared" si="23"/>
        <v>144</v>
      </c>
      <c r="H232" s="24">
        <f t="shared" si="24"/>
        <v>85</v>
      </c>
      <c r="I232" s="24">
        <f t="shared" si="25"/>
        <v>204</v>
      </c>
      <c r="J232" s="24">
        <f t="shared" si="26"/>
        <v>60</v>
      </c>
      <c r="K232" s="24">
        <f t="shared" si="27"/>
        <v>36.15903389</v>
      </c>
    </row>
    <row r="233">
      <c r="A233" s="4">
        <v>3.0</v>
      </c>
      <c r="B233" s="4">
        <v>14.0</v>
      </c>
      <c r="C233" s="4">
        <v>6.0</v>
      </c>
      <c r="D233" s="4">
        <v>11.0</v>
      </c>
      <c r="E233" s="24">
        <f t="shared" ref="E233:G233" si="28">B233^2</f>
        <v>196</v>
      </c>
      <c r="F233" s="24">
        <f t="shared" si="28"/>
        <v>36</v>
      </c>
      <c r="G233" s="24">
        <f t="shared" si="28"/>
        <v>121</v>
      </c>
      <c r="H233" s="24">
        <f t="shared" si="24"/>
        <v>84</v>
      </c>
      <c r="I233" s="24">
        <f t="shared" si="25"/>
        <v>154</v>
      </c>
      <c r="J233" s="24">
        <f t="shared" si="26"/>
        <v>66</v>
      </c>
      <c r="K233" s="24">
        <f t="shared" si="27"/>
        <v>96.86725913</v>
      </c>
    </row>
    <row r="234">
      <c r="A234" s="4">
        <v>4.0</v>
      </c>
      <c r="B234" s="4">
        <v>13.0</v>
      </c>
      <c r="C234" s="4">
        <v>4.0</v>
      </c>
      <c r="D234" s="4">
        <v>9.0</v>
      </c>
      <c r="E234" s="24">
        <f t="shared" ref="E234:G234" si="29">B234^2</f>
        <v>169</v>
      </c>
      <c r="F234" s="24">
        <f t="shared" si="29"/>
        <v>16</v>
      </c>
      <c r="G234" s="24">
        <f t="shared" si="29"/>
        <v>81</v>
      </c>
      <c r="H234" s="24">
        <f t="shared" si="24"/>
        <v>52</v>
      </c>
      <c r="I234" s="24">
        <f t="shared" si="25"/>
        <v>117</v>
      </c>
      <c r="J234" s="24">
        <f t="shared" si="26"/>
        <v>36</v>
      </c>
      <c r="K234" s="24">
        <f t="shared" si="27"/>
        <v>84.72076174</v>
      </c>
    </row>
    <row r="235">
      <c r="A235" s="4">
        <v>5.0</v>
      </c>
      <c r="B235" s="4">
        <v>16.0</v>
      </c>
      <c r="C235" s="4">
        <v>3.0</v>
      </c>
      <c r="D235" s="4">
        <v>12.0</v>
      </c>
      <c r="E235" s="24">
        <f t="shared" ref="E235:G235" si="30">B235^2</f>
        <v>256</v>
      </c>
      <c r="F235" s="24">
        <f t="shared" si="30"/>
        <v>9</v>
      </c>
      <c r="G235" s="24">
        <f t="shared" si="30"/>
        <v>144</v>
      </c>
      <c r="H235" s="24">
        <f t="shared" si="24"/>
        <v>48</v>
      </c>
      <c r="I235" s="24">
        <f t="shared" si="25"/>
        <v>192</v>
      </c>
      <c r="J235" s="24">
        <f t="shared" si="26"/>
        <v>36</v>
      </c>
      <c r="K235" s="24">
        <f t="shared" si="27"/>
        <v>60.54465873</v>
      </c>
    </row>
    <row r="236">
      <c r="A236" s="4">
        <v>6.0</v>
      </c>
      <c r="B236" s="4">
        <v>15.0</v>
      </c>
      <c r="C236" s="4">
        <v>2.0</v>
      </c>
      <c r="D236" s="4">
        <v>9.0</v>
      </c>
      <c r="E236" s="24">
        <f t="shared" ref="E236:G236" si="31">B236^2</f>
        <v>225</v>
      </c>
      <c r="F236" s="24">
        <f t="shared" si="31"/>
        <v>4</v>
      </c>
      <c r="G236" s="24">
        <f t="shared" si="31"/>
        <v>81</v>
      </c>
      <c r="H236" s="24">
        <f t="shared" si="24"/>
        <v>30</v>
      </c>
      <c r="I236" s="24">
        <f t="shared" si="25"/>
        <v>135</v>
      </c>
      <c r="J236" s="24">
        <f t="shared" si="26"/>
        <v>18</v>
      </c>
      <c r="K236" s="24">
        <f t="shared" si="27"/>
        <v>33.06253505</v>
      </c>
    </row>
    <row r="237">
      <c r="A237" s="4">
        <v>7.0</v>
      </c>
      <c r="B237" s="4">
        <v>13.0</v>
      </c>
      <c r="C237" s="4">
        <v>6.0</v>
      </c>
      <c r="D237" s="4">
        <v>10.0</v>
      </c>
      <c r="E237" s="24">
        <f t="shared" ref="E237:G237" si="32">B237^2</f>
        <v>169</v>
      </c>
      <c r="F237" s="24">
        <f t="shared" si="32"/>
        <v>36</v>
      </c>
      <c r="G237" s="24">
        <f t="shared" si="32"/>
        <v>100</v>
      </c>
      <c r="H237" s="24">
        <f t="shared" si="24"/>
        <v>78</v>
      </c>
      <c r="I237" s="24">
        <f t="shared" si="25"/>
        <v>130</v>
      </c>
      <c r="J237" s="24">
        <f t="shared" si="26"/>
        <v>60</v>
      </c>
      <c r="K237" s="24">
        <f t="shared" si="27"/>
        <v>17.58043859</v>
      </c>
    </row>
    <row r="238">
      <c r="A238" s="4">
        <v>8.0</v>
      </c>
      <c r="B238" s="4">
        <v>11.0</v>
      </c>
      <c r="C238" s="4">
        <v>5.0</v>
      </c>
      <c r="D238" s="4">
        <v>13.0</v>
      </c>
      <c r="E238" s="24">
        <f t="shared" ref="E238:G238" si="33">B238^2</f>
        <v>121</v>
      </c>
      <c r="F238" s="24">
        <f t="shared" si="33"/>
        <v>25</v>
      </c>
      <c r="G238" s="24">
        <f t="shared" si="33"/>
        <v>169</v>
      </c>
      <c r="H238" s="24">
        <f t="shared" si="24"/>
        <v>55</v>
      </c>
      <c r="I238" s="24">
        <f t="shared" si="25"/>
        <v>143</v>
      </c>
      <c r="J238" s="24">
        <f t="shared" si="26"/>
        <v>65</v>
      </c>
      <c r="K238" s="24">
        <f t="shared" si="27"/>
        <v>27.50816575</v>
      </c>
    </row>
    <row r="239">
      <c r="A239" s="4">
        <v>9.0</v>
      </c>
      <c r="B239" s="4">
        <v>15.0</v>
      </c>
      <c r="C239" s="4">
        <v>4.0</v>
      </c>
      <c r="D239" s="4">
        <v>10.0</v>
      </c>
      <c r="E239" s="24">
        <f t="shared" ref="E239:G239" si="34">B239^2</f>
        <v>225</v>
      </c>
      <c r="F239" s="24">
        <f t="shared" si="34"/>
        <v>16</v>
      </c>
      <c r="G239" s="24">
        <f t="shared" si="34"/>
        <v>100</v>
      </c>
      <c r="H239" s="24">
        <f t="shared" si="24"/>
        <v>60</v>
      </c>
      <c r="I239" s="24">
        <f t="shared" si="25"/>
        <v>150</v>
      </c>
      <c r="J239" s="24">
        <f t="shared" si="26"/>
        <v>40</v>
      </c>
      <c r="K239" s="24">
        <f t="shared" si="27"/>
        <v>9.905463214</v>
      </c>
    </row>
    <row r="240">
      <c r="A240" s="4">
        <v>10.0</v>
      </c>
      <c r="B240" s="4">
        <v>13.0</v>
      </c>
      <c r="C240" s="4">
        <v>6.0</v>
      </c>
      <c r="D240" s="4">
        <v>11.0</v>
      </c>
      <c r="E240" s="24">
        <f t="shared" ref="E240:G240" si="35">B240^2</f>
        <v>169</v>
      </c>
      <c r="F240" s="24">
        <f t="shared" si="35"/>
        <v>36</v>
      </c>
      <c r="G240" s="24">
        <f t="shared" si="35"/>
        <v>121</v>
      </c>
      <c r="H240" s="24">
        <f t="shared" si="24"/>
        <v>78</v>
      </c>
      <c r="I240" s="24">
        <f t="shared" si="25"/>
        <v>143</v>
      </c>
      <c r="J240" s="24">
        <f t="shared" si="26"/>
        <v>66</v>
      </c>
      <c r="K240" s="24">
        <f t="shared" si="27"/>
        <v>85.17110607</v>
      </c>
    </row>
    <row r="241">
      <c r="A241" s="4">
        <v>11.0</v>
      </c>
      <c r="B241" s="4">
        <v>12.0</v>
      </c>
      <c r="C241" s="4">
        <v>5.0</v>
      </c>
      <c r="D241" s="4">
        <v>14.0</v>
      </c>
      <c r="E241" s="24">
        <f t="shared" ref="E241:G241" si="36">B241^2</f>
        <v>144</v>
      </c>
      <c r="F241" s="24">
        <f t="shared" si="36"/>
        <v>25</v>
      </c>
      <c r="G241" s="24">
        <f t="shared" si="36"/>
        <v>196</v>
      </c>
      <c r="H241" s="24">
        <f t="shared" si="24"/>
        <v>60</v>
      </c>
      <c r="I241" s="24">
        <f t="shared" si="25"/>
        <v>168</v>
      </c>
      <c r="J241" s="24">
        <f t="shared" si="26"/>
        <v>70</v>
      </c>
      <c r="K241" s="24">
        <f t="shared" si="27"/>
        <v>7.785200425</v>
      </c>
    </row>
    <row r="242">
      <c r="A242" s="4">
        <v>12.0</v>
      </c>
      <c r="B242" s="4">
        <v>15.0</v>
      </c>
      <c r="C242" s="4">
        <v>3.0</v>
      </c>
      <c r="D242" s="4">
        <v>14.0</v>
      </c>
      <c r="E242" s="24">
        <f t="shared" ref="E242:G242" si="37">B242^2</f>
        <v>225</v>
      </c>
      <c r="F242" s="24">
        <f t="shared" si="37"/>
        <v>9</v>
      </c>
      <c r="G242" s="24">
        <f t="shared" si="37"/>
        <v>196</v>
      </c>
      <c r="H242" s="24">
        <f t="shared" si="24"/>
        <v>45</v>
      </c>
      <c r="I242" s="24">
        <f t="shared" si="25"/>
        <v>210</v>
      </c>
      <c r="J242" s="24">
        <f t="shared" si="26"/>
        <v>42</v>
      </c>
      <c r="K242" s="24">
        <f t="shared" si="27"/>
        <v>19.79451975</v>
      </c>
    </row>
    <row r="243">
      <c r="A243" s="4">
        <v>13.0</v>
      </c>
      <c r="B243" s="4">
        <v>13.0</v>
      </c>
      <c r="C243" s="4">
        <v>2.0</v>
      </c>
      <c r="D243" s="4">
        <v>8.0</v>
      </c>
      <c r="E243" s="24">
        <f t="shared" ref="E243:G243" si="38">B243^2</f>
        <v>169</v>
      </c>
      <c r="F243" s="24">
        <f t="shared" si="38"/>
        <v>4</v>
      </c>
      <c r="G243" s="24">
        <f t="shared" si="38"/>
        <v>64</v>
      </c>
      <c r="H243" s="24">
        <f t="shared" si="24"/>
        <v>26</v>
      </c>
      <c r="I243" s="24">
        <f t="shared" si="25"/>
        <v>104</v>
      </c>
      <c r="J243" s="24">
        <f t="shared" si="26"/>
        <v>16</v>
      </c>
      <c r="K243" s="24">
        <f t="shared" si="27"/>
        <v>2.565377917</v>
      </c>
    </row>
    <row r="244">
      <c r="A244" s="4">
        <v>14.0</v>
      </c>
      <c r="B244" s="4">
        <v>16.0</v>
      </c>
      <c r="C244" s="4">
        <v>5.0</v>
      </c>
      <c r="D244" s="4">
        <v>11.0</v>
      </c>
      <c r="E244" s="24">
        <f t="shared" ref="E244:G244" si="39">B244^2</f>
        <v>256</v>
      </c>
      <c r="F244" s="24">
        <f t="shared" si="39"/>
        <v>25</v>
      </c>
      <c r="G244" s="24">
        <f t="shared" si="39"/>
        <v>121</v>
      </c>
      <c r="H244" s="24">
        <f t="shared" si="24"/>
        <v>80</v>
      </c>
      <c r="I244" s="24">
        <f t="shared" si="25"/>
        <v>176</v>
      </c>
      <c r="J244" s="24">
        <f t="shared" si="26"/>
        <v>55</v>
      </c>
      <c r="K244" s="24">
        <f t="shared" si="27"/>
        <v>9.131164874</v>
      </c>
    </row>
    <row r="245">
      <c r="A245" s="4">
        <v>15.0</v>
      </c>
      <c r="B245" s="4">
        <v>17.0</v>
      </c>
      <c r="C245" s="4">
        <v>5.0</v>
      </c>
      <c r="D245" s="4">
        <v>10.0</v>
      </c>
      <c r="E245" s="24">
        <f t="shared" ref="E245:G245" si="40">B245^2</f>
        <v>289</v>
      </c>
      <c r="F245" s="24">
        <f t="shared" si="40"/>
        <v>25</v>
      </c>
      <c r="G245" s="24">
        <f t="shared" si="40"/>
        <v>100</v>
      </c>
      <c r="H245" s="24">
        <f t="shared" si="24"/>
        <v>85</v>
      </c>
      <c r="I245" s="24">
        <f t="shared" si="25"/>
        <v>170</v>
      </c>
      <c r="J245" s="24">
        <f t="shared" si="26"/>
        <v>50</v>
      </c>
      <c r="K245" s="24">
        <f t="shared" si="27"/>
        <v>61.31214392</v>
      </c>
    </row>
    <row r="246">
      <c r="A246" s="4">
        <v>16.0</v>
      </c>
      <c r="B246" s="4">
        <v>15.0</v>
      </c>
      <c r="C246" s="4">
        <v>4.0</v>
      </c>
      <c r="D246" s="4">
        <v>13.0</v>
      </c>
      <c r="E246" s="24">
        <f t="shared" ref="E246:G246" si="41">B246^2</f>
        <v>225</v>
      </c>
      <c r="F246" s="24">
        <f t="shared" si="41"/>
        <v>16</v>
      </c>
      <c r="G246" s="24">
        <f t="shared" si="41"/>
        <v>169</v>
      </c>
      <c r="H246" s="24">
        <f t="shared" si="24"/>
        <v>60</v>
      </c>
      <c r="I246" s="24">
        <f t="shared" si="25"/>
        <v>195</v>
      </c>
      <c r="J246" s="24">
        <f t="shared" si="26"/>
        <v>52</v>
      </c>
      <c r="K246" s="24">
        <f t="shared" si="27"/>
        <v>23.83515955</v>
      </c>
    </row>
    <row r="247">
      <c r="A247" s="4">
        <v>17.0</v>
      </c>
      <c r="B247" s="4">
        <v>11.0</v>
      </c>
      <c r="C247" s="4">
        <v>5.0</v>
      </c>
      <c r="D247" s="4">
        <v>12.0</v>
      </c>
      <c r="E247" s="24">
        <f t="shared" ref="E247:G247" si="42">B247^2</f>
        <v>121</v>
      </c>
      <c r="F247" s="24">
        <f t="shared" si="42"/>
        <v>25</v>
      </c>
      <c r="G247" s="24">
        <f t="shared" si="42"/>
        <v>144</v>
      </c>
      <c r="H247" s="24">
        <f t="shared" si="24"/>
        <v>55</v>
      </c>
      <c r="I247" s="24">
        <f t="shared" si="25"/>
        <v>132</v>
      </c>
      <c r="J247" s="24">
        <f t="shared" si="26"/>
        <v>60</v>
      </c>
      <c r="K247" s="24">
        <f t="shared" si="27"/>
        <v>312.1068277</v>
      </c>
    </row>
    <row r="248">
      <c r="A248" s="4">
        <v>18.0</v>
      </c>
      <c r="B248" s="4">
        <v>14.0</v>
      </c>
      <c r="C248" s="4">
        <v>4.0</v>
      </c>
      <c r="D248" s="4">
        <v>12.0</v>
      </c>
      <c r="E248" s="24">
        <f t="shared" ref="E248:G248" si="43">B248^2</f>
        <v>196</v>
      </c>
      <c r="F248" s="24">
        <f t="shared" si="43"/>
        <v>16</v>
      </c>
      <c r="G248" s="24">
        <f t="shared" si="43"/>
        <v>144</v>
      </c>
      <c r="H248" s="24">
        <f t="shared" si="24"/>
        <v>56</v>
      </c>
      <c r="I248" s="24">
        <f t="shared" si="25"/>
        <v>168</v>
      </c>
      <c r="J248" s="24">
        <f t="shared" si="26"/>
        <v>48</v>
      </c>
      <c r="K248" s="24">
        <f t="shared" si="27"/>
        <v>65.33252072</v>
      </c>
    </row>
    <row r="249">
      <c r="A249" s="4">
        <v>19.0</v>
      </c>
      <c r="B249" s="4">
        <v>13.0</v>
      </c>
      <c r="C249" s="4">
        <v>2.0</v>
      </c>
      <c r="D249" s="4">
        <v>14.0</v>
      </c>
      <c r="E249" s="24">
        <f t="shared" ref="E249:G249" si="44">B249^2</f>
        <v>169</v>
      </c>
      <c r="F249" s="24">
        <f t="shared" si="44"/>
        <v>4</v>
      </c>
      <c r="G249" s="24">
        <f t="shared" si="44"/>
        <v>196</v>
      </c>
      <c r="H249" s="24">
        <f t="shared" si="24"/>
        <v>26</v>
      </c>
      <c r="I249" s="24">
        <f t="shared" si="25"/>
        <v>182</v>
      </c>
      <c r="J249" s="24">
        <f t="shared" si="26"/>
        <v>28</v>
      </c>
      <c r="K249" s="24">
        <f t="shared" si="27"/>
        <v>26.33758627</v>
      </c>
    </row>
    <row r="250">
      <c r="A250" s="4">
        <v>20.0</v>
      </c>
      <c r="B250" s="4">
        <v>15.0</v>
      </c>
      <c r="C250" s="4">
        <v>3.0</v>
      </c>
      <c r="D250" s="4">
        <v>11.0</v>
      </c>
      <c r="E250" s="24">
        <f t="shared" ref="E250:G250" si="45">B250^2</f>
        <v>225</v>
      </c>
      <c r="F250" s="24">
        <f t="shared" si="45"/>
        <v>9</v>
      </c>
      <c r="G250" s="24">
        <f t="shared" si="45"/>
        <v>121</v>
      </c>
      <c r="H250" s="24">
        <f t="shared" si="24"/>
        <v>45</v>
      </c>
      <c r="I250" s="24">
        <f t="shared" si="25"/>
        <v>165</v>
      </c>
      <c r="J250" s="24">
        <f t="shared" si="26"/>
        <v>33</v>
      </c>
      <c r="K250" s="24">
        <f t="shared" si="27"/>
        <v>0.03383216003</v>
      </c>
    </row>
    <row r="252">
      <c r="A252" s="26" t="s">
        <v>96</v>
      </c>
    </row>
    <row r="255">
      <c r="A255" s="63" t="s">
        <v>97</v>
      </c>
      <c r="C255" s="64"/>
      <c r="D255" s="64"/>
      <c r="E255" s="64"/>
      <c r="F255" s="64"/>
      <c r="G255" s="64"/>
      <c r="H255" s="64"/>
      <c r="I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</row>
    <row r="257">
      <c r="A257" s="65" t="s">
        <v>98</v>
      </c>
      <c r="B257" s="66"/>
      <c r="C257" s="64"/>
      <c r="D257" s="64"/>
      <c r="E257" s="64"/>
      <c r="F257" s="64"/>
      <c r="G257" s="64"/>
      <c r="H257" s="64"/>
      <c r="I257" s="64"/>
    </row>
    <row r="258">
      <c r="A258" s="63" t="s">
        <v>99</v>
      </c>
      <c r="B258" s="67">
        <v>0.703039</v>
      </c>
      <c r="C258" s="64"/>
      <c r="D258" s="64"/>
      <c r="E258" s="64"/>
      <c r="F258" s="64"/>
      <c r="G258" s="64"/>
      <c r="H258" s="64"/>
      <c r="I258" s="64"/>
    </row>
    <row r="259">
      <c r="A259" s="63" t="s">
        <v>100</v>
      </c>
      <c r="B259" s="67">
        <v>0.494264</v>
      </c>
      <c r="C259" s="64"/>
      <c r="D259" s="64"/>
      <c r="E259" s="64"/>
      <c r="F259" s="64"/>
      <c r="G259" s="64"/>
      <c r="H259" s="64"/>
      <c r="I259" s="64"/>
    </row>
    <row r="260">
      <c r="A260" s="63" t="s">
        <v>101</v>
      </c>
      <c r="B260" s="67">
        <v>0.039101</v>
      </c>
      <c r="C260" s="64"/>
      <c r="D260" s="64"/>
      <c r="E260" s="64"/>
      <c r="F260" s="64"/>
      <c r="G260" s="64"/>
      <c r="H260" s="64"/>
      <c r="I260" s="64"/>
    </row>
    <row r="261">
      <c r="A261" s="63" t="s">
        <v>102</v>
      </c>
      <c r="B261" s="67">
        <v>67.27524</v>
      </c>
      <c r="C261" s="64"/>
      <c r="D261" s="64"/>
      <c r="E261" s="64"/>
      <c r="F261" s="64"/>
      <c r="G261" s="64"/>
      <c r="H261" s="64"/>
      <c r="I261" s="64"/>
    </row>
    <row r="262">
      <c r="A262" s="68" t="s">
        <v>103</v>
      </c>
      <c r="B262" s="69">
        <v>20.0</v>
      </c>
      <c r="C262" s="64"/>
      <c r="D262" s="64"/>
      <c r="E262" s="64"/>
      <c r="F262" s="64"/>
      <c r="G262" s="64"/>
      <c r="H262" s="64"/>
      <c r="I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</row>
    <row r="264">
      <c r="A264" s="63" t="s">
        <v>104</v>
      </c>
      <c r="D264" s="64"/>
      <c r="E264" s="64"/>
      <c r="F264" s="64"/>
      <c r="G264" s="64"/>
      <c r="H264" s="64"/>
      <c r="I264" s="64"/>
    </row>
    <row r="265">
      <c r="A265" s="70"/>
      <c r="B265" s="65" t="s">
        <v>14</v>
      </c>
      <c r="C265" s="65" t="s">
        <v>15</v>
      </c>
      <c r="D265" s="65" t="s">
        <v>16</v>
      </c>
      <c r="E265" s="65" t="s">
        <v>17</v>
      </c>
      <c r="F265" s="65" t="s">
        <v>105</v>
      </c>
      <c r="G265" s="64"/>
      <c r="H265" s="64"/>
      <c r="I265" s="64"/>
    </row>
    <row r="266">
      <c r="A266" s="63" t="s">
        <v>106</v>
      </c>
      <c r="B266" s="67">
        <v>9.0</v>
      </c>
      <c r="C266" s="67">
        <v>44232.86</v>
      </c>
      <c r="D266" s="67">
        <v>4914.763</v>
      </c>
      <c r="E266" s="67">
        <v>1.085906</v>
      </c>
      <c r="F266" s="67">
        <v>0.44624</v>
      </c>
      <c r="G266" s="64"/>
      <c r="H266" s="64"/>
      <c r="I266" s="64"/>
    </row>
    <row r="267">
      <c r="A267" s="63" t="s">
        <v>107</v>
      </c>
      <c r="B267" s="67">
        <v>10.0</v>
      </c>
      <c r="C267" s="67">
        <v>45259.58</v>
      </c>
      <c r="D267" s="67">
        <v>4525.958</v>
      </c>
      <c r="E267" s="64"/>
      <c r="F267" s="64"/>
      <c r="G267" s="64"/>
      <c r="H267" s="64"/>
      <c r="I267" s="64"/>
    </row>
    <row r="268">
      <c r="A268" s="68" t="s">
        <v>108</v>
      </c>
      <c r="B268" s="69">
        <v>19.0</v>
      </c>
      <c r="C268" s="69">
        <v>89492.44</v>
      </c>
      <c r="D268" s="71"/>
      <c r="E268" s="71"/>
      <c r="F268" s="71"/>
      <c r="G268" s="64"/>
      <c r="H268" s="64"/>
      <c r="I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</row>
    <row r="270">
      <c r="A270" s="70"/>
      <c r="B270" s="65" t="s">
        <v>109</v>
      </c>
      <c r="C270" s="65" t="s">
        <v>102</v>
      </c>
      <c r="D270" s="65" t="s">
        <v>110</v>
      </c>
      <c r="E270" s="65" t="s">
        <v>111</v>
      </c>
      <c r="F270" s="65" t="s">
        <v>112</v>
      </c>
      <c r="G270" s="65" t="s">
        <v>113</v>
      </c>
      <c r="H270" s="65" t="s">
        <v>114</v>
      </c>
      <c r="I270" s="65" t="s">
        <v>115</v>
      </c>
    </row>
    <row r="271">
      <c r="A271" s="63" t="s">
        <v>116</v>
      </c>
      <c r="B271" s="67">
        <v>1148.583</v>
      </c>
      <c r="C271" s="67">
        <v>1725.767</v>
      </c>
      <c r="D271" s="67">
        <v>0.665549</v>
      </c>
      <c r="E271" s="67">
        <v>0.520754</v>
      </c>
      <c r="F271" s="67">
        <v>-2696.67</v>
      </c>
      <c r="G271" s="67">
        <v>4993.832</v>
      </c>
      <c r="H271" s="67">
        <v>-2696.67</v>
      </c>
      <c r="I271" s="67">
        <v>4993.832</v>
      </c>
    </row>
    <row r="272">
      <c r="A272" s="63" t="s">
        <v>1</v>
      </c>
      <c r="B272" s="67">
        <v>-311.378</v>
      </c>
      <c r="C272" s="67">
        <v>191.1286</v>
      </c>
      <c r="D272" s="67">
        <v>-1.62915</v>
      </c>
      <c r="E272" s="67">
        <v>0.134336</v>
      </c>
      <c r="F272" s="67">
        <v>-737.239</v>
      </c>
      <c r="G272" s="67">
        <v>114.4833</v>
      </c>
      <c r="H272" s="67">
        <v>-737.239</v>
      </c>
      <c r="I272" s="67">
        <v>114.4833</v>
      </c>
    </row>
    <row r="273">
      <c r="A273" s="63" t="s">
        <v>2</v>
      </c>
      <c r="B273" s="67">
        <v>132.3136</v>
      </c>
      <c r="C273" s="67">
        <v>220.2489</v>
      </c>
      <c r="D273" s="67">
        <v>0.600746</v>
      </c>
      <c r="E273" s="67">
        <v>0.561377</v>
      </c>
      <c r="F273" s="67">
        <v>-358.431</v>
      </c>
      <c r="G273" s="67">
        <v>623.0587</v>
      </c>
      <c r="H273" s="67">
        <v>-358.431</v>
      </c>
      <c r="I273" s="67">
        <v>623.0587</v>
      </c>
    </row>
    <row r="274">
      <c r="A274" s="63" t="s">
        <v>3</v>
      </c>
      <c r="B274" s="67">
        <v>183.1877</v>
      </c>
      <c r="C274" s="67">
        <v>200.0783</v>
      </c>
      <c r="D274" s="67">
        <v>0.91558</v>
      </c>
      <c r="E274" s="67">
        <v>0.381436</v>
      </c>
      <c r="F274" s="67">
        <v>-262.615</v>
      </c>
      <c r="G274" s="67">
        <v>628.9899</v>
      </c>
      <c r="H274" s="67">
        <v>-262.615</v>
      </c>
      <c r="I274" s="67">
        <v>628.9899</v>
      </c>
    </row>
    <row r="275">
      <c r="A275" s="63" t="s">
        <v>90</v>
      </c>
      <c r="B275" s="67">
        <v>9.269921</v>
      </c>
      <c r="C275" s="67">
        <v>5.975508</v>
      </c>
      <c r="D275" s="67">
        <v>1.551319</v>
      </c>
      <c r="E275" s="67">
        <v>0.151872</v>
      </c>
      <c r="F275" s="67">
        <v>-4.04434</v>
      </c>
      <c r="G275" s="67">
        <v>22.58418</v>
      </c>
      <c r="H275" s="67">
        <v>-4.04434</v>
      </c>
      <c r="I275" s="67">
        <v>22.58418</v>
      </c>
    </row>
    <row r="276">
      <c r="A276" s="63" t="s">
        <v>91</v>
      </c>
      <c r="B276" s="67">
        <v>-0.62107</v>
      </c>
      <c r="C276" s="67">
        <v>11.25381</v>
      </c>
      <c r="D276" s="67">
        <v>-0.05519</v>
      </c>
      <c r="E276" s="67">
        <v>0.957076</v>
      </c>
      <c r="F276" s="67">
        <v>-25.6961</v>
      </c>
      <c r="G276" s="67">
        <v>24.45397</v>
      </c>
      <c r="H276" s="67">
        <v>-25.6961</v>
      </c>
      <c r="I276" s="67">
        <v>24.45397</v>
      </c>
    </row>
    <row r="277">
      <c r="A277" s="63" t="s">
        <v>92</v>
      </c>
      <c r="B277" s="67">
        <v>-10.1593</v>
      </c>
      <c r="C277" s="67">
        <v>8.21509</v>
      </c>
      <c r="D277" s="67">
        <v>-1.23666</v>
      </c>
      <c r="E277" s="67">
        <v>0.244469</v>
      </c>
      <c r="F277" s="67">
        <v>-28.4637</v>
      </c>
      <c r="G277" s="67">
        <v>8.145071</v>
      </c>
      <c r="H277" s="67">
        <v>-28.4637</v>
      </c>
      <c r="I277" s="67">
        <v>8.145071</v>
      </c>
    </row>
    <row r="278">
      <c r="A278" s="63" t="s">
        <v>93</v>
      </c>
      <c r="B278" s="67">
        <v>-5.11173</v>
      </c>
      <c r="C278" s="67">
        <v>10.95085</v>
      </c>
      <c r="D278" s="67">
        <v>-0.46679</v>
      </c>
      <c r="E278" s="67">
        <v>0.650656</v>
      </c>
      <c r="F278" s="67">
        <v>-29.5117</v>
      </c>
      <c r="G278" s="67">
        <v>19.2883</v>
      </c>
      <c r="H278" s="67">
        <v>-29.5117</v>
      </c>
      <c r="I278" s="67">
        <v>19.2883</v>
      </c>
    </row>
    <row r="279">
      <c r="A279" s="63" t="s">
        <v>94</v>
      </c>
      <c r="B279" s="67">
        <v>4.500186</v>
      </c>
      <c r="C279" s="67">
        <v>6.628361</v>
      </c>
      <c r="D279" s="67">
        <v>0.678929</v>
      </c>
      <c r="E279" s="67">
        <v>0.512589</v>
      </c>
      <c r="F279" s="67">
        <v>-10.2687</v>
      </c>
      <c r="G279" s="67">
        <v>19.26909</v>
      </c>
      <c r="H279" s="67">
        <v>-10.2687</v>
      </c>
      <c r="I279" s="67">
        <v>19.26909</v>
      </c>
    </row>
    <row r="280">
      <c r="A280" s="68" t="s">
        <v>95</v>
      </c>
      <c r="B280" s="69">
        <v>-5.86862</v>
      </c>
      <c r="C280" s="69">
        <v>8.196259</v>
      </c>
      <c r="D280" s="69">
        <v>-0.71601</v>
      </c>
      <c r="E280" s="69">
        <v>0.490366</v>
      </c>
      <c r="F280" s="69">
        <v>-24.131</v>
      </c>
      <c r="G280" s="69">
        <v>12.39379</v>
      </c>
      <c r="H280" s="69">
        <v>-24.131</v>
      </c>
      <c r="I280" s="69">
        <v>12.39379</v>
      </c>
    </row>
    <row r="281">
      <c r="A281" s="64"/>
      <c r="B281" s="64"/>
      <c r="C281" s="64"/>
      <c r="D281" s="64"/>
      <c r="E281" s="64"/>
      <c r="F281" s="64"/>
      <c r="G281" s="64"/>
      <c r="H281" s="64"/>
      <c r="I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</row>
    <row r="284">
      <c r="A284" s="63" t="s">
        <v>117</v>
      </c>
      <c r="C284" s="64"/>
      <c r="D284" s="64"/>
      <c r="E284" s="64"/>
      <c r="F284" s="64"/>
      <c r="G284" s="64"/>
      <c r="H284" s="64"/>
      <c r="I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</row>
    <row r="286">
      <c r="A286" s="65" t="s">
        <v>118</v>
      </c>
      <c r="B286" s="65" t="s">
        <v>119</v>
      </c>
      <c r="C286" s="65" t="s">
        <v>120</v>
      </c>
      <c r="D286" s="64"/>
      <c r="E286" s="64"/>
      <c r="F286" s="64"/>
      <c r="G286" s="64"/>
      <c r="H286" s="64"/>
      <c r="I286" s="64"/>
    </row>
    <row r="287">
      <c r="A287" s="67">
        <v>1.0</v>
      </c>
      <c r="B287" s="67">
        <v>39.80533</v>
      </c>
      <c r="C287" s="67">
        <v>-30.8749</v>
      </c>
      <c r="D287" s="64"/>
      <c r="E287" s="64"/>
      <c r="F287" s="64"/>
      <c r="G287" s="64"/>
      <c r="H287" s="64"/>
      <c r="I287" s="64"/>
    </row>
    <row r="288">
      <c r="A288" s="67">
        <v>2.0</v>
      </c>
      <c r="B288" s="67">
        <v>46.94606</v>
      </c>
      <c r="C288" s="67">
        <v>-10.787</v>
      </c>
      <c r="D288" s="64"/>
      <c r="E288" s="64"/>
      <c r="F288" s="64"/>
      <c r="G288" s="64"/>
      <c r="H288" s="64"/>
      <c r="I288" s="64"/>
    </row>
    <row r="289">
      <c r="A289" s="67">
        <v>3.0</v>
      </c>
      <c r="B289" s="67">
        <v>39.82552</v>
      </c>
      <c r="C289" s="67">
        <v>57.04174</v>
      </c>
      <c r="D289" s="64"/>
      <c r="E289" s="64"/>
      <c r="F289" s="64"/>
      <c r="G289" s="64"/>
      <c r="H289" s="64"/>
      <c r="I289" s="64"/>
    </row>
    <row r="290">
      <c r="A290" s="67">
        <v>4.0</v>
      </c>
      <c r="B290" s="67">
        <v>61.83284</v>
      </c>
      <c r="C290" s="67">
        <v>22.88792</v>
      </c>
      <c r="D290" s="64"/>
      <c r="E290" s="64"/>
      <c r="F290" s="64"/>
      <c r="G290" s="64"/>
      <c r="H290" s="64"/>
      <c r="I290" s="64"/>
    </row>
    <row r="291">
      <c r="A291" s="67">
        <v>5.0</v>
      </c>
      <c r="B291" s="67">
        <v>73.70483</v>
      </c>
      <c r="C291" s="67">
        <v>-13.1602</v>
      </c>
      <c r="D291" s="64"/>
      <c r="E291" s="64"/>
      <c r="F291" s="64"/>
      <c r="G291" s="64"/>
      <c r="H291" s="64"/>
      <c r="I291" s="64"/>
    </row>
    <row r="292">
      <c r="A292" s="67">
        <v>6.0</v>
      </c>
      <c r="B292" s="67">
        <v>0.114793</v>
      </c>
      <c r="C292" s="67">
        <v>32.94774</v>
      </c>
      <c r="D292" s="64"/>
      <c r="E292" s="64"/>
      <c r="F292" s="64"/>
      <c r="G292" s="64"/>
      <c r="H292" s="64"/>
      <c r="I292" s="64"/>
    </row>
    <row r="293">
      <c r="A293" s="67">
        <v>7.0</v>
      </c>
      <c r="B293" s="67">
        <v>88.95053</v>
      </c>
      <c r="C293" s="67">
        <v>-71.3701</v>
      </c>
      <c r="D293" s="64"/>
      <c r="E293" s="64"/>
      <c r="F293" s="64"/>
      <c r="G293" s="64"/>
      <c r="H293" s="64"/>
      <c r="I293" s="64"/>
    </row>
    <row r="294">
      <c r="A294" s="67">
        <v>8.0</v>
      </c>
      <c r="B294" s="67">
        <v>136.5691</v>
      </c>
      <c r="C294" s="67">
        <v>-109.061</v>
      </c>
      <c r="D294" s="64"/>
      <c r="E294" s="64"/>
      <c r="F294" s="64"/>
      <c r="G294" s="64"/>
      <c r="H294" s="64"/>
      <c r="I294" s="64"/>
    </row>
    <row r="295">
      <c r="A295" s="67">
        <v>9.0</v>
      </c>
      <c r="B295" s="67">
        <v>32.49174</v>
      </c>
      <c r="C295" s="67">
        <v>-22.5863</v>
      </c>
      <c r="D295" s="64"/>
      <c r="E295" s="64"/>
      <c r="F295" s="64"/>
      <c r="G295" s="64"/>
      <c r="H295" s="64"/>
      <c r="I295" s="64"/>
    </row>
    <row r="296">
      <c r="A296" s="67">
        <v>10.0</v>
      </c>
      <c r="B296" s="67">
        <v>82.0838</v>
      </c>
      <c r="C296" s="67">
        <v>3.087311</v>
      </c>
      <c r="D296" s="64"/>
      <c r="E296" s="64"/>
      <c r="F296" s="64"/>
      <c r="G296" s="64"/>
      <c r="H296" s="64"/>
      <c r="I296" s="64"/>
    </row>
    <row r="297">
      <c r="A297" s="67">
        <v>11.0</v>
      </c>
      <c r="B297" s="67">
        <v>4.889161</v>
      </c>
      <c r="C297" s="67">
        <v>2.896039</v>
      </c>
      <c r="D297" s="64"/>
      <c r="E297" s="64"/>
      <c r="F297" s="64"/>
      <c r="G297" s="64"/>
      <c r="H297" s="64"/>
      <c r="I297" s="64"/>
    </row>
    <row r="298">
      <c r="A298" s="67">
        <v>12.0</v>
      </c>
      <c r="B298" s="67">
        <v>-3.06587</v>
      </c>
      <c r="C298" s="67">
        <v>22.86039</v>
      </c>
      <c r="D298" s="64"/>
      <c r="E298" s="64"/>
      <c r="F298" s="64"/>
      <c r="G298" s="64"/>
      <c r="H298" s="64"/>
      <c r="I298" s="64"/>
    </row>
    <row r="299">
      <c r="A299" s="67">
        <v>13.0</v>
      </c>
      <c r="B299" s="67">
        <v>-14.0464</v>
      </c>
      <c r="C299" s="67">
        <v>16.61182</v>
      </c>
      <c r="D299" s="64"/>
      <c r="E299" s="64"/>
      <c r="F299" s="64"/>
      <c r="G299" s="64"/>
      <c r="H299" s="64"/>
      <c r="I299" s="64"/>
    </row>
    <row r="300">
      <c r="A300" s="67">
        <v>14.0</v>
      </c>
      <c r="B300" s="67">
        <v>31.78904</v>
      </c>
      <c r="C300" s="67">
        <v>-22.6579</v>
      </c>
      <c r="D300" s="64"/>
      <c r="E300" s="64"/>
      <c r="F300" s="64"/>
      <c r="G300" s="64"/>
      <c r="H300" s="64"/>
      <c r="I300" s="64"/>
    </row>
    <row r="301">
      <c r="A301" s="67">
        <v>15.0</v>
      </c>
      <c r="B301" s="67">
        <v>33.25939</v>
      </c>
      <c r="C301" s="67">
        <v>28.05275</v>
      </c>
      <c r="D301" s="64"/>
      <c r="E301" s="64"/>
      <c r="F301" s="64"/>
      <c r="G301" s="64"/>
      <c r="H301" s="64"/>
      <c r="I301" s="64"/>
    </row>
    <row r="302">
      <c r="A302" s="67">
        <v>16.0</v>
      </c>
      <c r="B302" s="67">
        <v>13.1486</v>
      </c>
      <c r="C302" s="67">
        <v>10.68656</v>
      </c>
      <c r="D302" s="64"/>
      <c r="E302" s="64"/>
      <c r="F302" s="64"/>
      <c r="G302" s="64"/>
      <c r="H302" s="64"/>
      <c r="I302" s="64"/>
    </row>
    <row r="303">
      <c r="A303" s="67">
        <v>17.0</v>
      </c>
      <c r="B303" s="67">
        <v>187.2047</v>
      </c>
      <c r="C303" s="67">
        <v>124.9021</v>
      </c>
      <c r="D303" s="64"/>
      <c r="E303" s="64"/>
      <c r="F303" s="64"/>
      <c r="G303" s="64"/>
      <c r="H303" s="64"/>
      <c r="I303" s="64"/>
    </row>
    <row r="304">
      <c r="A304" s="67">
        <v>18.0</v>
      </c>
      <c r="B304" s="67">
        <v>48.90969</v>
      </c>
      <c r="C304" s="67">
        <v>16.42283</v>
      </c>
      <c r="D304" s="64"/>
      <c r="E304" s="64"/>
      <c r="F304" s="64"/>
      <c r="G304" s="64"/>
      <c r="H304" s="64"/>
      <c r="I304" s="64"/>
    </row>
    <row r="305">
      <c r="A305" s="67">
        <v>19.0</v>
      </c>
      <c r="B305" s="67">
        <v>24.6442</v>
      </c>
      <c r="C305" s="67">
        <v>1.693387</v>
      </c>
      <c r="D305" s="64"/>
      <c r="E305" s="64"/>
      <c r="F305" s="64"/>
      <c r="G305" s="64"/>
      <c r="H305" s="64"/>
      <c r="I305" s="64"/>
    </row>
    <row r="306">
      <c r="A306" s="69">
        <v>20.0</v>
      </c>
      <c r="B306" s="69">
        <v>59.62716</v>
      </c>
      <c r="C306" s="69">
        <v>-59.5933</v>
      </c>
      <c r="D306" s="64"/>
      <c r="E306" s="64"/>
      <c r="F306" s="64"/>
      <c r="G306" s="64"/>
      <c r="H306" s="64"/>
      <c r="I306" s="64"/>
    </row>
    <row r="308">
      <c r="A308" s="26" t="s">
        <v>121</v>
      </c>
      <c r="B308" s="25">
        <f> 20 * B259</f>
        <v>9.88528</v>
      </c>
    </row>
    <row r="309">
      <c r="A309" s="26" t="s">
        <v>122</v>
      </c>
      <c r="B309" s="25">
        <f>_xlfn.CHISQ.INV.RT(0.05, 20-9-1)
</f>
        <v>18.30703805</v>
      </c>
    </row>
    <row r="311">
      <c r="A311" s="26" t="s">
        <v>88</v>
      </c>
    </row>
  </sheetData>
  <mergeCells count="8">
    <mergeCell ref="M19:O19"/>
    <mergeCell ref="M24:N24"/>
    <mergeCell ref="K55:M55"/>
    <mergeCell ref="K60:L60"/>
    <mergeCell ref="A255:B255"/>
    <mergeCell ref="A257:B257"/>
    <mergeCell ref="A264:C264"/>
    <mergeCell ref="A284:B28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32</v>
      </c>
      <c r="B1" s="37" t="s">
        <v>1</v>
      </c>
      <c r="C1" s="37" t="s">
        <v>2</v>
      </c>
      <c r="D1" s="37" t="s">
        <v>3</v>
      </c>
      <c r="E1" s="37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>
      <c r="A2" s="22">
        <v>1.0</v>
      </c>
      <c r="B2" s="38">
        <v>73.8</v>
      </c>
      <c r="C2" s="39">
        <v>5.0</v>
      </c>
      <c r="D2" s="39">
        <f t="shared" ref="D2:D42" si="1">2025-S2</f>
        <v>0</v>
      </c>
      <c r="E2" s="38">
        <v>107010.0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9">
        <v>2025.0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>
      <c r="A3" s="22">
        <v>2.0</v>
      </c>
      <c r="B3" s="38">
        <v>98.1</v>
      </c>
      <c r="C3" s="39">
        <v>6.0</v>
      </c>
      <c r="D3" s="39">
        <f t="shared" si="1"/>
        <v>10</v>
      </c>
      <c r="E3" s="38">
        <v>235000.0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9">
        <v>2015.0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>
      <c r="A4" s="22">
        <v>3.0</v>
      </c>
      <c r="B4" s="38">
        <v>76.9</v>
      </c>
      <c r="C4" s="39">
        <v>2.0</v>
      </c>
      <c r="D4" s="39">
        <f t="shared" si="1"/>
        <v>13</v>
      </c>
      <c r="E4" s="38">
        <v>169000.0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9">
        <v>2012.0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>
      <c r="A5" s="22">
        <v>4.0</v>
      </c>
      <c r="B5" s="39">
        <v>45.0</v>
      </c>
      <c r="C5" s="39">
        <v>4.0</v>
      </c>
      <c r="D5" s="39">
        <f t="shared" si="1"/>
        <v>63</v>
      </c>
      <c r="E5" s="38">
        <v>74000.0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9">
        <v>1962.0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>
      <c r="A6" s="22">
        <v>5.0</v>
      </c>
      <c r="B6" s="39">
        <v>55.6</v>
      </c>
      <c r="C6" s="39">
        <v>7.0</v>
      </c>
      <c r="D6" s="39">
        <f t="shared" si="1"/>
        <v>47</v>
      </c>
      <c r="E6" s="38">
        <v>108000.0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9">
        <v>1978.0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>
      <c r="A7" s="22">
        <v>6.0</v>
      </c>
      <c r="B7" s="39">
        <v>122.0</v>
      </c>
      <c r="C7" s="39">
        <v>30.0</v>
      </c>
      <c r="D7" s="39">
        <f t="shared" si="1"/>
        <v>3</v>
      </c>
      <c r="E7" s="38">
        <v>498000.0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9">
        <v>2022.0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>
      <c r="A8" s="22">
        <v>7.0</v>
      </c>
      <c r="B8" s="39">
        <v>48.9</v>
      </c>
      <c r="C8" s="39">
        <v>2.0</v>
      </c>
      <c r="D8" s="39">
        <f t="shared" si="1"/>
        <v>39</v>
      </c>
      <c r="E8" s="39">
        <v>99900.0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9">
        <v>1986.0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>
      <c r="A9" s="22">
        <v>8.0</v>
      </c>
      <c r="B9" s="39">
        <v>41.15</v>
      </c>
      <c r="C9" s="39">
        <v>10.0</v>
      </c>
      <c r="D9" s="39">
        <f t="shared" si="1"/>
        <v>0</v>
      </c>
      <c r="E9" s="39">
        <v>876415.0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9">
        <v>2025.0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>
      <c r="A10" s="22">
        <v>9.0</v>
      </c>
      <c r="B10" s="39">
        <v>42.1</v>
      </c>
      <c r="C10" s="39">
        <v>4.0</v>
      </c>
      <c r="D10" s="39">
        <f t="shared" si="1"/>
        <v>5</v>
      </c>
      <c r="E10" s="39">
        <v>121000.0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9">
        <v>2020.0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>
      <c r="A11" s="22">
        <v>10.0</v>
      </c>
      <c r="B11" s="39">
        <v>175.6</v>
      </c>
      <c r="C11" s="39">
        <v>5.0</v>
      </c>
      <c r="D11" s="39">
        <f t="shared" si="1"/>
        <v>0</v>
      </c>
      <c r="E11" s="39">
        <v>320000.0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9">
        <v>2025.0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>
      <c r="A12" s="22">
        <v>11.0</v>
      </c>
      <c r="B12" s="39">
        <v>56.6</v>
      </c>
      <c r="C12" s="39">
        <v>2.0</v>
      </c>
      <c r="D12" s="39">
        <f t="shared" si="1"/>
        <v>0</v>
      </c>
      <c r="E12" s="39">
        <v>97900.0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9">
        <v>2025.0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>
      <c r="A13" s="22">
        <v>12.0</v>
      </c>
      <c r="B13" s="39">
        <v>79.3</v>
      </c>
      <c r="C13" s="39">
        <v>5.0</v>
      </c>
      <c r="D13" s="39">
        <f t="shared" si="1"/>
        <v>14</v>
      </c>
      <c r="E13" s="39">
        <v>135000.0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9">
        <v>2011.0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>
      <c r="A14" s="22">
        <v>13.0</v>
      </c>
      <c r="B14" s="39">
        <v>32.2</v>
      </c>
      <c r="C14" s="39">
        <v>5.0</v>
      </c>
      <c r="D14" s="39">
        <f t="shared" si="1"/>
        <v>2</v>
      </c>
      <c r="E14" s="39">
        <v>112900.0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9">
        <v>2023.0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>
      <c r="A15" s="22">
        <v>14.0</v>
      </c>
      <c r="B15" s="39">
        <v>107.7</v>
      </c>
      <c r="C15" s="39">
        <v>16.0</v>
      </c>
      <c r="D15" s="39">
        <f t="shared" si="1"/>
        <v>21</v>
      </c>
      <c r="E15" s="39">
        <v>235000.0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9">
        <v>2004.0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>
      <c r="A16" s="22">
        <v>15.0</v>
      </c>
      <c r="B16" s="39">
        <v>65.5</v>
      </c>
      <c r="C16" s="39">
        <v>2.0</v>
      </c>
      <c r="D16" s="39">
        <f t="shared" si="1"/>
        <v>19</v>
      </c>
      <c r="E16" s="39">
        <v>218000.0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9">
        <v>2006.0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>
      <c r="A17" s="22">
        <v>16.0</v>
      </c>
      <c r="B17" s="39">
        <v>35.3</v>
      </c>
      <c r="C17" s="39">
        <v>2.0</v>
      </c>
      <c r="D17" s="39">
        <f t="shared" si="1"/>
        <v>21</v>
      </c>
      <c r="E17" s="39">
        <v>63000.0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9">
        <v>2004.0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>
      <c r="A18" s="22">
        <v>17.0</v>
      </c>
      <c r="B18" s="39">
        <v>45.8</v>
      </c>
      <c r="C18" s="39">
        <v>7.0</v>
      </c>
      <c r="D18" s="39">
        <f t="shared" si="1"/>
        <v>2</v>
      </c>
      <c r="E18" s="39">
        <v>84000.0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9">
        <v>2023.0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>
      <c r="A19" s="22">
        <v>18.0</v>
      </c>
      <c r="B19" s="39">
        <v>94.2</v>
      </c>
      <c r="C19" s="39">
        <v>12.0</v>
      </c>
      <c r="D19" s="39">
        <f t="shared" si="1"/>
        <v>8</v>
      </c>
      <c r="E19" s="39">
        <v>189000.0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9">
        <v>2017.0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>
      <c r="A20" s="22">
        <v>19.0</v>
      </c>
      <c r="B20" s="39">
        <v>58.3</v>
      </c>
      <c r="C20" s="39">
        <v>13.0</v>
      </c>
      <c r="D20" s="39">
        <f t="shared" si="1"/>
        <v>1</v>
      </c>
      <c r="E20" s="39">
        <v>129000.0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9">
        <v>2024.0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>
      <c r="A21" s="22">
        <v>20.0</v>
      </c>
      <c r="B21" s="39">
        <v>58.2</v>
      </c>
      <c r="C21" s="39">
        <v>8.0</v>
      </c>
      <c r="D21" s="39">
        <f t="shared" si="1"/>
        <v>2</v>
      </c>
      <c r="E21" s="39">
        <v>104900.0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9">
        <v>2023.0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>
      <c r="A22" s="22">
        <v>21.0</v>
      </c>
      <c r="B22" s="39">
        <v>133.1</v>
      </c>
      <c r="C22" s="39">
        <v>4.0</v>
      </c>
      <c r="D22" s="39">
        <f t="shared" si="1"/>
        <v>18</v>
      </c>
      <c r="E22" s="39">
        <v>284900.0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9">
        <v>2007.0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>
      <c r="A23" s="22">
        <v>22.0</v>
      </c>
      <c r="B23" s="39">
        <v>63.5</v>
      </c>
      <c r="C23" s="39">
        <v>10.0</v>
      </c>
      <c r="D23" s="39">
        <f t="shared" si="1"/>
        <v>0</v>
      </c>
      <c r="E23" s="39">
        <v>132700.0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9">
        <v>2025.0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>
      <c r="A24" s="22">
        <v>23.0</v>
      </c>
      <c r="B24" s="39">
        <v>55.6</v>
      </c>
      <c r="C24" s="39">
        <v>22.0</v>
      </c>
      <c r="D24" s="39">
        <f t="shared" si="1"/>
        <v>4</v>
      </c>
      <c r="E24" s="39">
        <v>144900.0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9">
        <v>2021.0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>
      <c r="A25" s="22">
        <v>24.0</v>
      </c>
      <c r="B25" s="39">
        <v>61.0</v>
      </c>
      <c r="C25" s="39">
        <v>7.0</v>
      </c>
      <c r="D25" s="39">
        <f t="shared" si="1"/>
        <v>17</v>
      </c>
      <c r="E25" s="39">
        <v>117500.0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9">
        <v>2008.0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>
      <c r="A26" s="22">
        <v>25.0</v>
      </c>
      <c r="B26" s="39">
        <v>35.2</v>
      </c>
      <c r="C26" s="39">
        <v>1.0</v>
      </c>
      <c r="D26" s="39">
        <f t="shared" si="1"/>
        <v>38</v>
      </c>
      <c r="E26" s="39">
        <v>87500.0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9">
        <v>1987.0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>
      <c r="A27" s="22">
        <v>26.0</v>
      </c>
      <c r="B27" s="39">
        <v>34.9</v>
      </c>
      <c r="C27" s="39">
        <v>8.0</v>
      </c>
      <c r="D27" s="39">
        <f t="shared" si="1"/>
        <v>49</v>
      </c>
      <c r="E27" s="39">
        <v>65000.0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9">
        <v>1976.0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>
      <c r="A28" s="22">
        <v>27.0</v>
      </c>
      <c r="B28" s="39">
        <v>32.0</v>
      </c>
      <c r="C28" s="39">
        <v>2.0</v>
      </c>
      <c r="D28" s="39">
        <f t="shared" si="1"/>
        <v>64</v>
      </c>
      <c r="E28" s="39">
        <v>63700.0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9">
        <v>1961.0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>
      <c r="A29" s="22">
        <v>28.0</v>
      </c>
      <c r="B29" s="39">
        <v>34.6</v>
      </c>
      <c r="C29" s="39">
        <v>9.0</v>
      </c>
      <c r="D29" s="39">
        <f t="shared" si="1"/>
        <v>2</v>
      </c>
      <c r="E29" s="39">
        <v>87500.0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9">
        <v>2023.0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>
      <c r="A30" s="22">
        <v>29.0</v>
      </c>
      <c r="B30" s="39">
        <v>44.9</v>
      </c>
      <c r="C30" s="39">
        <v>11.0</v>
      </c>
      <c r="D30" s="39">
        <f t="shared" si="1"/>
        <v>15</v>
      </c>
      <c r="E30" s="39">
        <v>77900.0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9">
        <v>2010.0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>
      <c r="A31" s="22">
        <v>30.0</v>
      </c>
      <c r="B31" s="39">
        <v>90.3</v>
      </c>
      <c r="C31" s="39">
        <v>16.0</v>
      </c>
      <c r="D31" s="39">
        <f t="shared" si="1"/>
        <v>0</v>
      </c>
      <c r="E31" s="39">
        <v>190000.0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9">
        <v>2025.0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>
      <c r="A32" s="22">
        <v>31.0</v>
      </c>
      <c r="B32" s="39">
        <v>26.1</v>
      </c>
      <c r="C32" s="39">
        <v>24.0</v>
      </c>
      <c r="D32" s="39">
        <f t="shared" si="1"/>
        <v>3</v>
      </c>
      <c r="E32" s="39">
        <v>87000.0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9">
        <v>2022.0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>
      <c r="A33" s="22">
        <v>32.0</v>
      </c>
      <c r="B33" s="39">
        <v>39.5</v>
      </c>
      <c r="C33" s="39">
        <v>18.0</v>
      </c>
      <c r="D33" s="39">
        <f t="shared" si="1"/>
        <v>4</v>
      </c>
      <c r="E33" s="39">
        <v>109000.0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9">
        <v>2021.0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>
      <c r="A34" s="22">
        <v>33.0</v>
      </c>
      <c r="B34" s="39">
        <v>68.4</v>
      </c>
      <c r="C34" s="39">
        <v>7.0</v>
      </c>
      <c r="D34" s="39">
        <f t="shared" si="1"/>
        <v>8</v>
      </c>
      <c r="E34" s="39">
        <v>130000.0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9">
        <v>2017.0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>
      <c r="A35" s="22">
        <v>34.0</v>
      </c>
      <c r="B35" s="39">
        <v>49.9</v>
      </c>
      <c r="C35" s="39">
        <v>5.0</v>
      </c>
      <c r="D35" s="39">
        <f t="shared" si="1"/>
        <v>56</v>
      </c>
      <c r="E35" s="39">
        <v>104000.0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9">
        <v>1969.0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>
      <c r="A36" s="22">
        <v>35.0</v>
      </c>
      <c r="B36" s="39">
        <v>57.1</v>
      </c>
      <c r="C36" s="39">
        <v>2.0</v>
      </c>
      <c r="D36" s="39">
        <f t="shared" si="1"/>
        <v>1</v>
      </c>
      <c r="E36" s="39">
        <v>135000.0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9">
        <v>2024.0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>
      <c r="A37" s="22">
        <v>36.0</v>
      </c>
      <c r="B37" s="39">
        <v>37.5</v>
      </c>
      <c r="C37" s="39">
        <v>24.0</v>
      </c>
      <c r="D37" s="39">
        <f t="shared" si="1"/>
        <v>0</v>
      </c>
      <c r="E37" s="39">
        <v>93000.0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9">
        <v>2025.0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>
      <c r="A38" s="22">
        <v>37.0</v>
      </c>
      <c r="B38" s="39">
        <v>60.0</v>
      </c>
      <c r="C38" s="39">
        <v>2.0</v>
      </c>
      <c r="D38" s="39">
        <f t="shared" si="1"/>
        <v>0</v>
      </c>
      <c r="E38" s="39">
        <v>112000.0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9">
        <v>2025.0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>
      <c r="A39" s="22">
        <v>38.0</v>
      </c>
      <c r="B39" s="39">
        <v>30.3</v>
      </c>
      <c r="C39" s="39">
        <v>1.0</v>
      </c>
      <c r="D39" s="39">
        <f t="shared" si="1"/>
        <v>64</v>
      </c>
      <c r="E39" s="39">
        <v>58000.0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9">
        <v>1961.0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>
      <c r="A40" s="22">
        <v>39.0</v>
      </c>
      <c r="B40" s="39">
        <v>33.3</v>
      </c>
      <c r="C40" s="39">
        <v>5.0</v>
      </c>
      <c r="D40" s="39">
        <f t="shared" si="1"/>
        <v>51</v>
      </c>
      <c r="E40" s="39">
        <v>64900.0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9">
        <v>1974.0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>
      <c r="A41" s="22">
        <v>40.0</v>
      </c>
      <c r="B41" s="39">
        <v>58.9</v>
      </c>
      <c r="C41" s="39">
        <v>10.0</v>
      </c>
      <c r="D41" s="39">
        <f t="shared" si="1"/>
        <v>3</v>
      </c>
      <c r="E41" s="39">
        <v>115000.0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9">
        <v>2022.0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>
      <c r="A42" s="22">
        <v>41.0</v>
      </c>
      <c r="B42" s="39">
        <v>49.8</v>
      </c>
      <c r="C42" s="39">
        <v>2.0</v>
      </c>
      <c r="D42" s="39">
        <f t="shared" si="1"/>
        <v>35</v>
      </c>
      <c r="E42" s="39">
        <v>101000.0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9">
        <v>1990.0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>
      <c r="A44" s="3" t="s">
        <v>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>
      <c r="A46" s="9" t="s">
        <v>58</v>
      </c>
      <c r="B46" s="1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>
      <c r="A47" s="3" t="s">
        <v>8</v>
      </c>
      <c r="B47" s="11">
        <v>0.4709236382866481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>
      <c r="A48" s="3" t="s">
        <v>9</v>
      </c>
      <c r="B48" s="11">
        <v>0.22176907309713378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>
      <c r="A49" s="3" t="s">
        <v>10</v>
      </c>
      <c r="B49" s="11">
        <v>0.15866926821311755</v>
      </c>
      <c r="C49" s="3"/>
      <c r="D49" s="3"/>
      <c r="E49" s="3"/>
      <c r="F49" s="3"/>
      <c r="G49" s="3"/>
      <c r="H49" s="3"/>
      <c r="I49" s="3"/>
      <c r="J49" s="3"/>
      <c r="K49" s="72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>
      <c r="A50" s="3" t="s">
        <v>11</v>
      </c>
      <c r="B50" s="11">
        <v>130567.16181937551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>
      <c r="A51" s="12" t="s">
        <v>12</v>
      </c>
      <c r="B51" s="13">
        <v>41.0</v>
      </c>
      <c r="C51" s="3"/>
      <c r="D51" s="3"/>
      <c r="E51" s="3"/>
      <c r="F51" s="3"/>
      <c r="G51" s="3"/>
      <c r="H51" s="3"/>
      <c r="I51" s="3"/>
      <c r="J51" s="3"/>
      <c r="K51" s="3"/>
      <c r="L51" s="11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11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>
      <c r="A53" s="3" t="s">
        <v>13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11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>
      <c r="A54" s="10"/>
      <c r="B54" s="9" t="s">
        <v>14</v>
      </c>
      <c r="C54" s="9" t="s">
        <v>15</v>
      </c>
      <c r="D54" s="9" t="s">
        <v>16</v>
      </c>
      <c r="E54" s="9" t="s">
        <v>17</v>
      </c>
      <c r="F54" s="9" t="s">
        <v>18</v>
      </c>
      <c r="G54" s="3"/>
      <c r="H54" s="3"/>
      <c r="I54" s="3"/>
      <c r="J54" s="3"/>
      <c r="K54" s="72"/>
      <c r="L54" s="7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>
      <c r="A55" s="3" t="s">
        <v>19</v>
      </c>
      <c r="B55" s="11">
        <v>3.0</v>
      </c>
      <c r="C55" s="11">
        <v>1.7974720555304553E11</v>
      </c>
      <c r="D55" s="11">
        <v>5.991573518434851E10</v>
      </c>
      <c r="E55" s="11">
        <v>3.5145762099386473</v>
      </c>
      <c r="F55" s="11">
        <v>0.024436696241720735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>
      <c r="A56" s="3" t="s">
        <v>20</v>
      </c>
      <c r="B56" s="11">
        <v>37.0</v>
      </c>
      <c r="C56" s="11">
        <v>6.307679985859786E11</v>
      </c>
      <c r="D56" s="11">
        <v>1.704778374556699E10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>
      <c r="A57" s="12" t="s">
        <v>21</v>
      </c>
      <c r="B57" s="13">
        <v>40.0</v>
      </c>
      <c r="C57" s="13">
        <v>8.105152041390242E11</v>
      </c>
      <c r="D57" s="12"/>
      <c r="E57" s="12"/>
      <c r="F57" s="12"/>
      <c r="G57" s="3"/>
      <c r="H57" s="3"/>
      <c r="I57" s="3"/>
      <c r="J57" s="3"/>
      <c r="K57" s="3"/>
      <c r="L57" s="11"/>
      <c r="M57" s="11"/>
      <c r="N57" s="11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11"/>
      <c r="M58" s="11"/>
      <c r="N58" s="11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>
      <c r="A59" s="10"/>
      <c r="B59" s="9" t="s">
        <v>22</v>
      </c>
      <c r="C59" s="9" t="s">
        <v>11</v>
      </c>
      <c r="D59" s="9" t="s">
        <v>23</v>
      </c>
      <c r="E59" s="9" t="s">
        <v>24</v>
      </c>
      <c r="F59" s="9" t="s">
        <v>25</v>
      </c>
      <c r="G59" s="9" t="s">
        <v>26</v>
      </c>
      <c r="H59" s="9" t="s">
        <v>25</v>
      </c>
      <c r="I59" s="9" t="s">
        <v>26</v>
      </c>
      <c r="J59" s="3"/>
      <c r="K59" s="3"/>
      <c r="L59" s="11"/>
      <c r="M59" s="11"/>
      <c r="N59" s="11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>
      <c r="A60" s="3" t="s">
        <v>27</v>
      </c>
      <c r="B60" s="11">
        <v>45312.75470022019</v>
      </c>
      <c r="C60" s="11">
        <v>64168.146796101646</v>
      </c>
      <c r="D60" s="11">
        <v>0.7061565116443886</v>
      </c>
      <c r="E60" s="11">
        <v>0.48451388092365366</v>
      </c>
      <c r="F60" s="11">
        <v>-84704.25970144256</v>
      </c>
      <c r="G60" s="11">
        <v>175329.76910188294</v>
      </c>
      <c r="H60" s="11">
        <v>-84704.25970144256</v>
      </c>
      <c r="I60" s="11">
        <v>175329.76910188294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>
      <c r="A61" s="12" t="s">
        <v>1</v>
      </c>
      <c r="B61" s="13">
        <v>1604.2741068057308</v>
      </c>
      <c r="C61" s="13">
        <v>696.4626147356844</v>
      </c>
      <c r="D61" s="13">
        <v>2.3034604770775404</v>
      </c>
      <c r="E61" s="13">
        <v>0.026972850241539507</v>
      </c>
      <c r="F61" s="13">
        <v>193.10681693457627</v>
      </c>
      <c r="G61" s="13">
        <v>3015.4413966768852</v>
      </c>
      <c r="H61" s="13">
        <v>193.10681693457627</v>
      </c>
      <c r="I61" s="13">
        <v>3015.4413966768852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>
      <c r="A62" s="3" t="s">
        <v>2</v>
      </c>
      <c r="B62" s="11">
        <v>3177.317321328853</v>
      </c>
      <c r="C62" s="11">
        <v>3172.16413502569</v>
      </c>
      <c r="D62" s="11">
        <v>1.0016245017861036</v>
      </c>
      <c r="E62" s="11">
        <v>0.3230308504959925</v>
      </c>
      <c r="F62" s="11">
        <v>-3250.0976909608507</v>
      </c>
      <c r="G62" s="11">
        <v>9604.732333618556</v>
      </c>
      <c r="H62" s="11">
        <v>-3250.0976909608507</v>
      </c>
      <c r="I62" s="11">
        <v>9604.732333618556</v>
      </c>
      <c r="J62" s="3"/>
      <c r="K62" s="3"/>
      <c r="L62" s="11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>
      <c r="A63" s="12" t="s">
        <v>3</v>
      </c>
      <c r="B63" s="13">
        <v>-875.8033917117555</v>
      </c>
      <c r="C63" s="13">
        <v>1122.2824016173672</v>
      </c>
      <c r="D63" s="13">
        <v>-0.7803770160251994</v>
      </c>
      <c r="E63" s="13">
        <v>0.4401331073393758</v>
      </c>
      <c r="F63" s="13">
        <v>-3149.7635177143748</v>
      </c>
      <c r="G63" s="13">
        <v>1398.1567342908638</v>
      </c>
      <c r="H63" s="13">
        <v>-3149.7635177143748</v>
      </c>
      <c r="I63" s="13">
        <v>1398.1567342908638</v>
      </c>
      <c r="J63" s="3"/>
      <c r="K63" s="3"/>
      <c r="L63" s="3"/>
      <c r="M63" s="3"/>
      <c r="N63" s="11"/>
      <c r="O63" s="11"/>
      <c r="P63" s="11"/>
      <c r="Q63" s="11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11"/>
      <c r="O64" s="11"/>
      <c r="P64" s="11"/>
      <c r="Q64" s="11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11"/>
      <c r="M65" s="3"/>
      <c r="N65" s="11"/>
      <c r="O65" s="11"/>
      <c r="P65" s="11"/>
      <c r="Q65" s="11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1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>
      <c r="A67" s="9" t="s">
        <v>28</v>
      </c>
      <c r="B67" s="10"/>
      <c r="C67" s="10"/>
      <c r="D67" s="3"/>
      <c r="E67" s="3"/>
      <c r="F67" s="3"/>
      <c r="G67" s="3"/>
      <c r="H67" s="3"/>
      <c r="I67" s="3"/>
      <c r="J67" s="3"/>
      <c r="K67" s="3"/>
      <c r="L67" s="1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11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>
      <c r="A69" s="9" t="s">
        <v>29</v>
      </c>
      <c r="B69" s="9" t="s">
        <v>30</v>
      </c>
      <c r="C69" s="9" t="s">
        <v>31</v>
      </c>
      <c r="D69" s="5" t="s">
        <v>123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>
      <c r="A70" s="11">
        <v>1.0</v>
      </c>
      <c r="B70" s="11">
        <v>179594.77038912737</v>
      </c>
      <c r="C70" s="11">
        <v>-72584.77038912737</v>
      </c>
      <c r="D70" s="3">
        <f t="shared" ref="D70:D110" si="2">C70^2</f>
        <v>5268548892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>
      <c r="A71" s="11">
        <v>2.0</v>
      </c>
      <c r="B71" s="11">
        <v>212997.91458871795</v>
      </c>
      <c r="C71" s="11">
        <v>22002.085411282053</v>
      </c>
      <c r="D71" s="3">
        <f t="shared" si="2"/>
        <v>484091762.4</v>
      </c>
      <c r="E71" s="3"/>
      <c r="F71" s="3"/>
      <c r="G71" s="3"/>
      <c r="H71" s="3"/>
      <c r="I71" s="3"/>
      <c r="J71" s="3"/>
      <c r="K71" s="3"/>
      <c r="L71" s="3"/>
      <c r="M71" s="3"/>
      <c r="N71" s="11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>
      <c r="A72" s="11">
        <v>3.0</v>
      </c>
      <c r="B72" s="11">
        <v>163650.62406398577</v>
      </c>
      <c r="C72" s="11">
        <v>5349.3759360142285</v>
      </c>
      <c r="D72" s="3">
        <f t="shared" si="2"/>
        <v>28615822.9</v>
      </c>
      <c r="E72" s="3"/>
      <c r="F72" s="3"/>
      <c r="G72" s="3"/>
      <c r="H72" s="3"/>
      <c r="I72" s="3"/>
      <c r="J72" s="3"/>
      <c r="K72" s="3"/>
      <c r="L72" s="3"/>
      <c r="M72" s="3"/>
      <c r="N72" s="11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>
      <c r="A73" s="11">
        <v>4.0</v>
      </c>
      <c r="B73" s="11">
        <v>75038.7451139529</v>
      </c>
      <c r="C73" s="11">
        <v>-1038.7451139529003</v>
      </c>
      <c r="D73" s="3">
        <f t="shared" si="2"/>
        <v>1078991.412</v>
      </c>
      <c r="E73" s="3"/>
      <c r="F73" s="3"/>
      <c r="G73" s="3"/>
      <c r="H73" s="3"/>
      <c r="I73" s="3"/>
      <c r="J73" s="3"/>
      <c r="K73" s="3"/>
      <c r="L73" s="3"/>
      <c r="M73" s="3"/>
      <c r="N73" s="11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>
      <c r="A74" s="11">
        <v>5.0</v>
      </c>
      <c r="B74" s="11">
        <v>115588.8568774683</v>
      </c>
      <c r="C74" s="11">
        <v>-7588.8568774682935</v>
      </c>
      <c r="D74" s="3">
        <f t="shared" si="2"/>
        <v>57590748.71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>
      <c r="A75" s="11">
        <v>6.0</v>
      </c>
      <c r="B75" s="11">
        <v>333726.3051952497</v>
      </c>
      <c r="C75" s="11">
        <v>164273.69480475032</v>
      </c>
      <c r="D75" s="3">
        <f t="shared" si="2"/>
        <v>26985846805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>
      <c r="A76" s="11">
        <v>7.0</v>
      </c>
      <c r="B76" s="11">
        <v>95960.06088891967</v>
      </c>
      <c r="C76" s="11">
        <v>3939.9391110803263</v>
      </c>
      <c r="D76" s="3">
        <f t="shared" si="2"/>
        <v>15523120.2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>
      <c r="A77" s="11">
        <v>8.0</v>
      </c>
      <c r="B77" s="11">
        <v>143101.80740856455</v>
      </c>
      <c r="C77" s="11">
        <v>733313.1925914355</v>
      </c>
      <c r="D77" s="3">
        <f t="shared" si="2"/>
        <v>537748238429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>
      <c r="A78" s="11">
        <v>9.0</v>
      </c>
      <c r="B78" s="11">
        <v>121182.9469234981</v>
      </c>
      <c r="C78" s="11">
        <v>-182.94692349809338</v>
      </c>
      <c r="D78" s="3">
        <f t="shared" si="2"/>
        <v>33469.57682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>
      <c r="A79" s="11">
        <v>10.0</v>
      </c>
      <c r="B79" s="11">
        <v>342909.8744619508</v>
      </c>
      <c r="C79" s="11">
        <v>-22909.874461950792</v>
      </c>
      <c r="D79" s="3">
        <f t="shared" si="2"/>
        <v>524862347.9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>
      <c r="A80" s="11">
        <v>11.0</v>
      </c>
      <c r="B80" s="11">
        <v>142469.30378808227</v>
      </c>
      <c r="C80" s="11">
        <v>-44569.30378808227</v>
      </c>
      <c r="D80" s="3">
        <f t="shared" si="2"/>
        <v>1986422840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>
      <c r="A81" s="11">
        <v>12.0</v>
      </c>
      <c r="B81" s="11">
        <v>176157.03049259432</v>
      </c>
      <c r="C81" s="11">
        <v>-41157.03049259432</v>
      </c>
      <c r="D81" s="3">
        <f t="shared" si="2"/>
        <v>1693901159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>
      <c r="A82" s="11">
        <v>13.0</v>
      </c>
      <c r="B82" s="11">
        <v>111105.36076258548</v>
      </c>
      <c r="C82" s="11">
        <v>1794.6392374145216</v>
      </c>
      <c r="D82" s="3">
        <f t="shared" si="2"/>
        <v>3220729.992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>
      <c r="A83" s="11">
        <v>14.0</v>
      </c>
      <c r="B83" s="11">
        <v>250538.2819185122</v>
      </c>
      <c r="C83" s="11">
        <v>-15538.281918512192</v>
      </c>
      <c r="D83" s="3">
        <f t="shared" si="2"/>
        <v>241438205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>
      <c r="A84" s="11">
        <v>15.0</v>
      </c>
      <c r="B84" s="11">
        <v>140107.0788961299</v>
      </c>
      <c r="C84" s="11">
        <v>77892.92110387009</v>
      </c>
      <c r="D84" s="3">
        <f t="shared" si="2"/>
        <v>6067307158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>
      <c r="A85" s="11">
        <v>16.0</v>
      </c>
      <c r="B85" s="11">
        <v>89906.3940871733</v>
      </c>
      <c r="C85" s="11">
        <v>-26906.394087173307</v>
      </c>
      <c r="D85" s="3">
        <f t="shared" si="2"/>
        <v>723954042.8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>
      <c r="A86" s="11">
        <v>17.0</v>
      </c>
      <c r="B86" s="11">
        <v>139278.1232578011</v>
      </c>
      <c r="C86" s="11">
        <v>-55278.12325780111</v>
      </c>
      <c r="D86" s="3">
        <f t="shared" si="2"/>
        <v>3055670911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>
      <c r="A87" s="11">
        <v>18.0</v>
      </c>
      <c r="B87" s="11">
        <v>227556.75628357218</v>
      </c>
      <c r="C87" s="11">
        <v>-38556.75628357218</v>
      </c>
      <c r="D87" s="3">
        <f t="shared" si="2"/>
        <v>1486623455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>
      <c r="A88" s="11">
        <v>19.0</v>
      </c>
      <c r="B88" s="11">
        <v>179271.2569125576</v>
      </c>
      <c r="C88" s="11">
        <v>-50271.25691255761</v>
      </c>
      <c r="D88" s="3">
        <f t="shared" si="2"/>
        <v>2527199272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>
      <c r="A89" s="11">
        <v>20.0</v>
      </c>
      <c r="B89" s="11">
        <v>162348.43950352102</v>
      </c>
      <c r="C89" s="11">
        <v>-57448.43950352102</v>
      </c>
      <c r="D89" s="3">
        <f t="shared" si="2"/>
        <v>3300323201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>
      <c r="A90" s="11">
        <v>21.0</v>
      </c>
      <c r="B90" s="11">
        <v>255786.44655056673</v>
      </c>
      <c r="C90" s="11">
        <v>29113.553449433268</v>
      </c>
      <c r="D90" s="3">
        <f t="shared" si="2"/>
        <v>847598994.5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>
      <c r="A91" s="11">
        <v>22.0</v>
      </c>
      <c r="B91" s="11">
        <v>178957.33369567263</v>
      </c>
      <c r="C91" s="11">
        <v>-46257.33369567263</v>
      </c>
      <c r="D91" s="3">
        <f t="shared" si="2"/>
        <v>2139740921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>
      <c r="A92" s="11">
        <v>23.0</v>
      </c>
      <c r="B92" s="11">
        <v>200908.16254100658</v>
      </c>
      <c r="C92" s="11">
        <v>-56008.162541006575</v>
      </c>
      <c r="D92" s="3">
        <f t="shared" si="2"/>
        <v>3136914271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>
      <c r="A93" s="11">
        <v>24.0</v>
      </c>
      <c r="B93" s="11">
        <v>150526.0388055719</v>
      </c>
      <c r="C93" s="11">
        <v>-33026.03880557191</v>
      </c>
      <c r="D93" s="3">
        <f t="shared" si="2"/>
        <v>1090719239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>
      <c r="A94" s="11">
        <v>25.0</v>
      </c>
      <c r="B94" s="11">
        <v>71679.99169606407</v>
      </c>
      <c r="C94" s="11">
        <v>15820.00830393593</v>
      </c>
      <c r="D94" s="3">
        <f t="shared" si="2"/>
        <v>250272662.7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>
      <c r="A95" s="11">
        <v>26.0</v>
      </c>
      <c r="B95" s="11">
        <v>83806.09340449501</v>
      </c>
      <c r="C95" s="11">
        <v>-18806.09340449501</v>
      </c>
      <c r="D95" s="3">
        <f t="shared" si="2"/>
        <v>353669149.1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>
      <c r="A96" s="11">
        <v>27.0</v>
      </c>
      <c r="B96" s="11">
        <v>46952.74369110893</v>
      </c>
      <c r="C96" s="11">
        <v>16747.25630889107</v>
      </c>
      <c r="D96" s="3">
        <f t="shared" si="2"/>
        <v>280470593.9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>
      <c r="A97" s="11">
        <v>28.0</v>
      </c>
      <c r="B97" s="11">
        <v>127664.88790423464</v>
      </c>
      <c r="C97" s="11">
        <v>-40164.88790423464</v>
      </c>
      <c r="D97" s="3">
        <f t="shared" si="2"/>
        <v>1613218220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>
      <c r="A98" s="11">
        <v>29.0</v>
      </c>
      <c r="B98" s="11">
        <v>139158.10175473854</v>
      </c>
      <c r="C98" s="11">
        <v>-61258.10175473854</v>
      </c>
      <c r="D98" s="3">
        <f t="shared" si="2"/>
        <v>3752555031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>
      <c r="A99" s="11">
        <v>30.0</v>
      </c>
      <c r="B99" s="11">
        <v>241015.78368603933</v>
      </c>
      <c r="C99" s="11">
        <v>-51015.78368603933</v>
      </c>
      <c r="D99" s="3">
        <f t="shared" si="2"/>
        <v>2602610185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>
      <c r="A100" s="11">
        <v>31.0</v>
      </c>
      <c r="B100" s="11">
        <v>160812.51442460695</v>
      </c>
      <c r="C100" s="11">
        <v>-73812.51442460695</v>
      </c>
      <c r="D100" s="3">
        <f t="shared" si="2"/>
        <v>5448287286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>
      <c r="A101" s="11">
        <v>32.0</v>
      </c>
      <c r="B101" s="11">
        <v>162370.08013611886</v>
      </c>
      <c r="C101" s="11">
        <v>-53370.080136118864</v>
      </c>
      <c r="D101" s="3">
        <f t="shared" si="2"/>
        <v>2848365454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>
      <c r="A102" s="11">
        <v>33.0</v>
      </c>
      <c r="B102" s="11">
        <v>170279.89772134012</v>
      </c>
      <c r="C102" s="11">
        <v>-40279.89772134012</v>
      </c>
      <c r="D102" s="3">
        <f t="shared" si="2"/>
        <v>1622470160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>
      <c r="A103" s="11">
        <v>34.0</v>
      </c>
      <c r="B103" s="11">
        <v>92207.6293006121</v>
      </c>
      <c r="C103" s="11">
        <v>11792.370699387902</v>
      </c>
      <c r="D103" s="3">
        <f t="shared" si="2"/>
        <v>139060006.7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>
      <c r="A104" s="11">
        <v>35.0</v>
      </c>
      <c r="B104" s="11">
        <v>142395.63744977335</v>
      </c>
      <c r="C104" s="11">
        <v>-7395.637449773349</v>
      </c>
      <c r="D104" s="3">
        <f t="shared" si="2"/>
        <v>54695453.29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>
      <c r="A105" s="11">
        <v>36.0</v>
      </c>
      <c r="B105" s="11">
        <v>181728.64941732754</v>
      </c>
      <c r="C105" s="11">
        <v>-88728.64941732754</v>
      </c>
      <c r="D105" s="3">
        <f t="shared" si="2"/>
        <v>7872773227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>
      <c r="A106" s="11">
        <v>37.0</v>
      </c>
      <c r="B106" s="11">
        <v>147923.83575122175</v>
      </c>
      <c r="C106" s="11">
        <v>-35923.83575122175</v>
      </c>
      <c r="D106" s="3">
        <f t="shared" si="2"/>
        <v>1290521975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>
      <c r="A107" s="13">
        <v>38.0</v>
      </c>
      <c r="B107" s="13">
        <v>41048.16038821034</v>
      </c>
      <c r="C107" s="13">
        <v>16951.839611789663</v>
      </c>
      <c r="D107" s="3">
        <f t="shared" si="2"/>
        <v>287364866.2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>
      <c r="A108" s="11">
        <v>39.0</v>
      </c>
      <c r="B108" s="11">
        <v>69955.69608619576</v>
      </c>
      <c r="C108" s="11">
        <v>-5055.696086195763</v>
      </c>
      <c r="D108" s="3">
        <f t="shared" si="2"/>
        <v>25560062.92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>
      <c r="A109" s="11">
        <v>40.0</v>
      </c>
      <c r="B109" s="11">
        <v>168950.262629231</v>
      </c>
      <c r="C109" s="11">
        <v>-53950.262629231</v>
      </c>
      <c r="D109" s="3">
        <f t="shared" si="2"/>
        <v>2910630838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>
      <c r="A110" s="13">
        <v>41.0</v>
      </c>
      <c r="B110" s="13">
        <v>100907.12115189183</v>
      </c>
      <c r="C110" s="13">
        <v>92.87884810817195</v>
      </c>
      <c r="D110" s="3">
        <f t="shared" si="2"/>
        <v>8626.480426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>
      <c r="A113" s="37" t="s">
        <v>32</v>
      </c>
      <c r="B113" s="37" t="s">
        <v>1</v>
      </c>
      <c r="C113" s="37" t="s">
        <v>2</v>
      </c>
      <c r="D113" s="37" t="s">
        <v>3</v>
      </c>
      <c r="E113" s="37" t="s">
        <v>4</v>
      </c>
      <c r="F113" s="19" t="s">
        <v>62</v>
      </c>
      <c r="G113" s="19" t="s">
        <v>63</v>
      </c>
      <c r="H113" s="19" t="s">
        <v>124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>
      <c r="A114" s="22">
        <v>1.0</v>
      </c>
      <c r="B114" s="38">
        <v>73.8</v>
      </c>
      <c r="C114" s="39">
        <v>5.0</v>
      </c>
      <c r="D114" s="39">
        <f t="shared" ref="D114:D154" si="4">2025-S2</f>
        <v>0</v>
      </c>
      <c r="E114" s="38">
        <v>107010.0</v>
      </c>
      <c r="F114" s="23">
        <f t="shared" ref="F114:G114" si="3">C70</f>
        <v>-72584.77039</v>
      </c>
      <c r="G114" s="23">
        <f t="shared" si="3"/>
        <v>5268548892</v>
      </c>
      <c r="H114" s="23">
        <f t="shared" ref="H114:H154" si="6">B70</f>
        <v>179594.7704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>
      <c r="A115" s="22">
        <v>2.0</v>
      </c>
      <c r="B115" s="38">
        <v>98.1</v>
      </c>
      <c r="C115" s="39">
        <v>6.0</v>
      </c>
      <c r="D115" s="39">
        <f t="shared" si="4"/>
        <v>10</v>
      </c>
      <c r="E115" s="38">
        <v>235000.0</v>
      </c>
      <c r="F115" s="23">
        <f t="shared" ref="F115:G115" si="5">C71</f>
        <v>22002.08541</v>
      </c>
      <c r="G115" s="23">
        <f t="shared" si="5"/>
        <v>484091762.4</v>
      </c>
      <c r="H115" s="23">
        <f t="shared" si="6"/>
        <v>212997.9146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>
      <c r="A116" s="22">
        <v>3.0</v>
      </c>
      <c r="B116" s="38">
        <v>76.9</v>
      </c>
      <c r="C116" s="39">
        <v>2.0</v>
      </c>
      <c r="D116" s="39">
        <f t="shared" si="4"/>
        <v>13</v>
      </c>
      <c r="E116" s="38">
        <v>169000.0</v>
      </c>
      <c r="F116" s="23">
        <f t="shared" ref="F116:G116" si="7">C72</f>
        <v>5349.375936</v>
      </c>
      <c r="G116" s="23">
        <f t="shared" si="7"/>
        <v>28615822.9</v>
      </c>
      <c r="H116" s="23">
        <f t="shared" si="6"/>
        <v>163650.6241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>
      <c r="A117" s="22">
        <v>4.0</v>
      </c>
      <c r="B117" s="39">
        <v>45.0</v>
      </c>
      <c r="C117" s="39">
        <v>4.0</v>
      </c>
      <c r="D117" s="39">
        <f t="shared" si="4"/>
        <v>63</v>
      </c>
      <c r="E117" s="38">
        <v>74000.0</v>
      </c>
      <c r="F117" s="23">
        <f t="shared" ref="F117:G117" si="8">C73</f>
        <v>-1038.745114</v>
      </c>
      <c r="G117" s="23">
        <f t="shared" si="8"/>
        <v>1078991.412</v>
      </c>
      <c r="H117" s="23">
        <f t="shared" si="6"/>
        <v>75038.74511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>
      <c r="A118" s="22">
        <v>5.0</v>
      </c>
      <c r="B118" s="39">
        <v>55.6</v>
      </c>
      <c r="C118" s="39">
        <v>7.0</v>
      </c>
      <c r="D118" s="39">
        <f t="shared" si="4"/>
        <v>47</v>
      </c>
      <c r="E118" s="38">
        <v>108000.0</v>
      </c>
      <c r="F118" s="23">
        <f t="shared" ref="F118:G118" si="9">C74</f>
        <v>-7588.856877</v>
      </c>
      <c r="G118" s="23">
        <f t="shared" si="9"/>
        <v>57590748.71</v>
      </c>
      <c r="H118" s="23">
        <f t="shared" si="6"/>
        <v>115588.8569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>
      <c r="A119" s="22">
        <v>6.0</v>
      </c>
      <c r="B119" s="39">
        <v>122.0</v>
      </c>
      <c r="C119" s="39">
        <v>30.0</v>
      </c>
      <c r="D119" s="39">
        <f t="shared" si="4"/>
        <v>3</v>
      </c>
      <c r="E119" s="38">
        <v>498000.0</v>
      </c>
      <c r="F119" s="23">
        <f t="shared" ref="F119:G119" si="10">C75</f>
        <v>164273.6948</v>
      </c>
      <c r="G119" s="23">
        <f t="shared" si="10"/>
        <v>26985846805</v>
      </c>
      <c r="H119" s="23">
        <f t="shared" si="6"/>
        <v>333726.3052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>
      <c r="A120" s="22">
        <v>7.0</v>
      </c>
      <c r="B120" s="39">
        <v>48.9</v>
      </c>
      <c r="C120" s="39">
        <v>2.0</v>
      </c>
      <c r="D120" s="39">
        <f t="shared" si="4"/>
        <v>39</v>
      </c>
      <c r="E120" s="39">
        <v>99900.0</v>
      </c>
      <c r="F120" s="23">
        <f t="shared" ref="F120:G120" si="11">C76</f>
        <v>3939.939111</v>
      </c>
      <c r="G120" s="23">
        <f t="shared" si="11"/>
        <v>15523120.2</v>
      </c>
      <c r="H120" s="23">
        <f t="shared" si="6"/>
        <v>95960.06089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>
      <c r="A121" s="22">
        <v>8.0</v>
      </c>
      <c r="B121" s="39">
        <v>41.15</v>
      </c>
      <c r="C121" s="39">
        <v>10.0</v>
      </c>
      <c r="D121" s="39">
        <f t="shared" si="4"/>
        <v>0</v>
      </c>
      <c r="E121" s="39">
        <v>876415.0</v>
      </c>
      <c r="F121" s="23">
        <f t="shared" ref="F121:G121" si="12">C77</f>
        <v>733313.1926</v>
      </c>
      <c r="G121" s="23">
        <f t="shared" si="12"/>
        <v>537748238429</v>
      </c>
      <c r="H121" s="23">
        <f t="shared" si="6"/>
        <v>143101.8074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>
      <c r="A122" s="22">
        <v>9.0</v>
      </c>
      <c r="B122" s="39">
        <v>42.1</v>
      </c>
      <c r="C122" s="39">
        <v>4.0</v>
      </c>
      <c r="D122" s="39">
        <f t="shared" si="4"/>
        <v>5</v>
      </c>
      <c r="E122" s="39">
        <v>121000.0</v>
      </c>
      <c r="F122" s="23">
        <f t="shared" ref="F122:G122" si="13">C78</f>
        <v>-182.9469235</v>
      </c>
      <c r="G122" s="23">
        <f t="shared" si="13"/>
        <v>33469.57682</v>
      </c>
      <c r="H122" s="23">
        <f t="shared" si="6"/>
        <v>121182.9469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>
      <c r="A123" s="22">
        <v>10.0</v>
      </c>
      <c r="B123" s="39">
        <v>175.6</v>
      </c>
      <c r="C123" s="39">
        <v>5.0</v>
      </c>
      <c r="D123" s="39">
        <f t="shared" si="4"/>
        <v>0</v>
      </c>
      <c r="E123" s="39">
        <v>320000.0</v>
      </c>
      <c r="F123" s="23">
        <f t="shared" ref="F123:G123" si="14">C79</f>
        <v>-22909.87446</v>
      </c>
      <c r="G123" s="23">
        <f t="shared" si="14"/>
        <v>524862347.9</v>
      </c>
      <c r="H123" s="23">
        <f t="shared" si="6"/>
        <v>342909.8745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>
      <c r="A124" s="22">
        <v>11.0</v>
      </c>
      <c r="B124" s="39">
        <v>56.6</v>
      </c>
      <c r="C124" s="39">
        <v>2.0</v>
      </c>
      <c r="D124" s="39">
        <f t="shared" si="4"/>
        <v>0</v>
      </c>
      <c r="E124" s="39">
        <v>97900.0</v>
      </c>
      <c r="F124" s="23">
        <f t="shared" ref="F124:G124" si="15">C80</f>
        <v>-44569.30379</v>
      </c>
      <c r="G124" s="23">
        <f t="shared" si="15"/>
        <v>1986422840</v>
      </c>
      <c r="H124" s="23">
        <f t="shared" si="6"/>
        <v>142469.3038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>
      <c r="A125" s="22">
        <v>12.0</v>
      </c>
      <c r="B125" s="39">
        <v>79.3</v>
      </c>
      <c r="C125" s="39">
        <v>5.0</v>
      </c>
      <c r="D125" s="39">
        <f t="shared" si="4"/>
        <v>14</v>
      </c>
      <c r="E125" s="39">
        <v>135000.0</v>
      </c>
      <c r="F125" s="23">
        <f t="shared" ref="F125:G125" si="16">C81</f>
        <v>-41157.03049</v>
      </c>
      <c r="G125" s="23">
        <f t="shared" si="16"/>
        <v>1693901159</v>
      </c>
      <c r="H125" s="23">
        <f t="shared" si="6"/>
        <v>176157.0305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>
      <c r="A126" s="22">
        <v>13.0</v>
      </c>
      <c r="B126" s="39">
        <v>32.2</v>
      </c>
      <c r="C126" s="39">
        <v>5.0</v>
      </c>
      <c r="D126" s="39">
        <f t="shared" si="4"/>
        <v>2</v>
      </c>
      <c r="E126" s="39">
        <v>112900.0</v>
      </c>
      <c r="F126" s="23">
        <f t="shared" ref="F126:G126" si="17">C82</f>
        <v>1794.639237</v>
      </c>
      <c r="G126" s="23">
        <f t="shared" si="17"/>
        <v>3220729.992</v>
      </c>
      <c r="H126" s="23">
        <f t="shared" si="6"/>
        <v>111105.3608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>
      <c r="A127" s="22">
        <v>14.0</v>
      </c>
      <c r="B127" s="39">
        <v>107.7</v>
      </c>
      <c r="C127" s="39">
        <v>16.0</v>
      </c>
      <c r="D127" s="39">
        <f t="shared" si="4"/>
        <v>21</v>
      </c>
      <c r="E127" s="39">
        <v>235000.0</v>
      </c>
      <c r="F127" s="23">
        <f t="shared" ref="F127:G127" si="18">C83</f>
        <v>-15538.28192</v>
      </c>
      <c r="G127" s="23">
        <f t="shared" si="18"/>
        <v>241438205</v>
      </c>
      <c r="H127" s="23">
        <f t="shared" si="6"/>
        <v>250538.2819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>
      <c r="A128" s="22">
        <v>15.0</v>
      </c>
      <c r="B128" s="39">
        <v>65.5</v>
      </c>
      <c r="C128" s="39">
        <v>2.0</v>
      </c>
      <c r="D128" s="39">
        <f t="shared" si="4"/>
        <v>19</v>
      </c>
      <c r="E128" s="39">
        <v>218000.0</v>
      </c>
      <c r="F128" s="23">
        <f t="shared" ref="F128:G128" si="19">C84</f>
        <v>77892.9211</v>
      </c>
      <c r="G128" s="23">
        <f t="shared" si="19"/>
        <v>6067307158</v>
      </c>
      <c r="H128" s="23">
        <f t="shared" si="6"/>
        <v>140107.0789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>
      <c r="A129" s="22">
        <v>16.0</v>
      </c>
      <c r="B129" s="39">
        <v>35.3</v>
      </c>
      <c r="C129" s="39">
        <v>2.0</v>
      </c>
      <c r="D129" s="39">
        <f t="shared" si="4"/>
        <v>21</v>
      </c>
      <c r="E129" s="39">
        <v>63000.0</v>
      </c>
      <c r="F129" s="23">
        <f t="shared" ref="F129:G129" si="20">C85</f>
        <v>-26906.39409</v>
      </c>
      <c r="G129" s="23">
        <f t="shared" si="20"/>
        <v>723954042.8</v>
      </c>
      <c r="H129" s="23">
        <f t="shared" si="6"/>
        <v>89906.39409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>
      <c r="A130" s="22">
        <v>17.0</v>
      </c>
      <c r="B130" s="39">
        <v>45.8</v>
      </c>
      <c r="C130" s="39">
        <v>7.0</v>
      </c>
      <c r="D130" s="39">
        <f t="shared" si="4"/>
        <v>2</v>
      </c>
      <c r="E130" s="39">
        <v>84000.0</v>
      </c>
      <c r="F130" s="23">
        <f t="shared" ref="F130:G130" si="21">C86</f>
        <v>-55278.12326</v>
      </c>
      <c r="G130" s="23">
        <f t="shared" si="21"/>
        <v>3055670911</v>
      </c>
      <c r="H130" s="23">
        <f t="shared" si="6"/>
        <v>139278.1233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>
      <c r="A131" s="22">
        <v>18.0</v>
      </c>
      <c r="B131" s="39">
        <v>94.2</v>
      </c>
      <c r="C131" s="39">
        <v>12.0</v>
      </c>
      <c r="D131" s="39">
        <f t="shared" si="4"/>
        <v>8</v>
      </c>
      <c r="E131" s="39">
        <v>189000.0</v>
      </c>
      <c r="F131" s="23">
        <f t="shared" ref="F131:G131" si="22">C87</f>
        <v>-38556.75628</v>
      </c>
      <c r="G131" s="23">
        <f t="shared" si="22"/>
        <v>1486623455</v>
      </c>
      <c r="H131" s="23">
        <f t="shared" si="6"/>
        <v>227556.7563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>
      <c r="A132" s="22">
        <v>19.0</v>
      </c>
      <c r="B132" s="39">
        <v>58.3</v>
      </c>
      <c r="C132" s="39">
        <v>13.0</v>
      </c>
      <c r="D132" s="39">
        <f t="shared" si="4"/>
        <v>1</v>
      </c>
      <c r="E132" s="39">
        <v>129000.0</v>
      </c>
      <c r="F132" s="23">
        <f t="shared" ref="F132:G132" si="23">C88</f>
        <v>-50271.25691</v>
      </c>
      <c r="G132" s="23">
        <f t="shared" si="23"/>
        <v>2527199272</v>
      </c>
      <c r="H132" s="23">
        <f t="shared" si="6"/>
        <v>179271.2569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>
      <c r="A133" s="22">
        <v>20.0</v>
      </c>
      <c r="B133" s="39">
        <v>58.2</v>
      </c>
      <c r="C133" s="39">
        <v>8.0</v>
      </c>
      <c r="D133" s="39">
        <f t="shared" si="4"/>
        <v>2</v>
      </c>
      <c r="E133" s="39">
        <v>104900.0</v>
      </c>
      <c r="F133" s="23">
        <f t="shared" ref="F133:G133" si="24">C89</f>
        <v>-57448.4395</v>
      </c>
      <c r="G133" s="23">
        <f t="shared" si="24"/>
        <v>3300323201</v>
      </c>
      <c r="H133" s="23">
        <f t="shared" si="6"/>
        <v>162348.4395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>
      <c r="A134" s="22">
        <v>21.0</v>
      </c>
      <c r="B134" s="39">
        <v>133.1</v>
      </c>
      <c r="C134" s="39">
        <v>4.0</v>
      </c>
      <c r="D134" s="39">
        <f t="shared" si="4"/>
        <v>18</v>
      </c>
      <c r="E134" s="39">
        <v>284900.0</v>
      </c>
      <c r="F134" s="23">
        <f t="shared" ref="F134:G134" si="25">C90</f>
        <v>29113.55345</v>
      </c>
      <c r="G134" s="23">
        <f t="shared" si="25"/>
        <v>847598994.5</v>
      </c>
      <c r="H134" s="23">
        <f t="shared" si="6"/>
        <v>255786.4466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>
      <c r="A135" s="22">
        <v>22.0</v>
      </c>
      <c r="B135" s="39">
        <v>63.5</v>
      </c>
      <c r="C135" s="39">
        <v>10.0</v>
      </c>
      <c r="D135" s="39">
        <f t="shared" si="4"/>
        <v>0</v>
      </c>
      <c r="E135" s="39">
        <v>132700.0</v>
      </c>
      <c r="F135" s="23">
        <f t="shared" ref="F135:G135" si="26">C91</f>
        <v>-46257.3337</v>
      </c>
      <c r="G135" s="23">
        <f t="shared" si="26"/>
        <v>2139740921</v>
      </c>
      <c r="H135" s="23">
        <f t="shared" si="6"/>
        <v>178957.3337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>
      <c r="A136" s="22">
        <v>23.0</v>
      </c>
      <c r="B136" s="39">
        <v>55.6</v>
      </c>
      <c r="C136" s="39">
        <v>22.0</v>
      </c>
      <c r="D136" s="39">
        <f t="shared" si="4"/>
        <v>4</v>
      </c>
      <c r="E136" s="39">
        <v>144900.0</v>
      </c>
      <c r="F136" s="23">
        <f t="shared" ref="F136:G136" si="27">C92</f>
        <v>-56008.16254</v>
      </c>
      <c r="G136" s="23">
        <f t="shared" si="27"/>
        <v>3136914271</v>
      </c>
      <c r="H136" s="23">
        <f t="shared" si="6"/>
        <v>200908.1625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>
      <c r="A137" s="22">
        <v>24.0</v>
      </c>
      <c r="B137" s="39">
        <v>61.0</v>
      </c>
      <c r="C137" s="39">
        <v>7.0</v>
      </c>
      <c r="D137" s="39">
        <f t="shared" si="4"/>
        <v>17</v>
      </c>
      <c r="E137" s="39">
        <v>117500.0</v>
      </c>
      <c r="F137" s="23">
        <f t="shared" ref="F137:G137" si="28">C93</f>
        <v>-33026.03881</v>
      </c>
      <c r="G137" s="23">
        <f t="shared" si="28"/>
        <v>1090719239</v>
      </c>
      <c r="H137" s="23">
        <f t="shared" si="6"/>
        <v>150526.0388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>
      <c r="A138" s="22">
        <v>25.0</v>
      </c>
      <c r="B138" s="39">
        <v>35.2</v>
      </c>
      <c r="C138" s="39">
        <v>1.0</v>
      </c>
      <c r="D138" s="39">
        <f t="shared" si="4"/>
        <v>38</v>
      </c>
      <c r="E138" s="39">
        <v>87500.0</v>
      </c>
      <c r="F138" s="23">
        <f t="shared" ref="F138:G138" si="29">C94</f>
        <v>15820.0083</v>
      </c>
      <c r="G138" s="23">
        <f t="shared" si="29"/>
        <v>250272662.7</v>
      </c>
      <c r="H138" s="23">
        <f t="shared" si="6"/>
        <v>71679.9917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>
      <c r="A139" s="22">
        <v>26.0</v>
      </c>
      <c r="B139" s="39">
        <v>34.9</v>
      </c>
      <c r="C139" s="39">
        <v>8.0</v>
      </c>
      <c r="D139" s="39">
        <f t="shared" si="4"/>
        <v>49</v>
      </c>
      <c r="E139" s="39">
        <v>65000.0</v>
      </c>
      <c r="F139" s="23">
        <f t="shared" ref="F139:G139" si="30">C95</f>
        <v>-18806.0934</v>
      </c>
      <c r="G139" s="23">
        <f t="shared" si="30"/>
        <v>353669149.1</v>
      </c>
      <c r="H139" s="23">
        <f t="shared" si="6"/>
        <v>83806.0934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>
      <c r="A140" s="22">
        <v>27.0</v>
      </c>
      <c r="B140" s="39">
        <v>32.0</v>
      </c>
      <c r="C140" s="39">
        <v>2.0</v>
      </c>
      <c r="D140" s="39">
        <f t="shared" si="4"/>
        <v>64</v>
      </c>
      <c r="E140" s="39">
        <v>63700.0</v>
      </c>
      <c r="F140" s="23">
        <f t="shared" ref="F140:G140" si="31">C96</f>
        <v>16747.25631</v>
      </c>
      <c r="G140" s="23">
        <f t="shared" si="31"/>
        <v>280470593.9</v>
      </c>
      <c r="H140" s="23">
        <f t="shared" si="6"/>
        <v>46952.74369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>
      <c r="A141" s="22">
        <v>28.0</v>
      </c>
      <c r="B141" s="39">
        <v>34.6</v>
      </c>
      <c r="C141" s="39">
        <v>9.0</v>
      </c>
      <c r="D141" s="39">
        <f t="shared" si="4"/>
        <v>2</v>
      </c>
      <c r="E141" s="39">
        <v>87500.0</v>
      </c>
      <c r="F141" s="23">
        <f t="shared" ref="F141:G141" si="32">C97</f>
        <v>-40164.8879</v>
      </c>
      <c r="G141" s="23">
        <f t="shared" si="32"/>
        <v>1613218220</v>
      </c>
      <c r="H141" s="23">
        <f t="shared" si="6"/>
        <v>127664.8879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>
      <c r="A142" s="22">
        <v>29.0</v>
      </c>
      <c r="B142" s="39">
        <v>44.9</v>
      </c>
      <c r="C142" s="39">
        <v>11.0</v>
      </c>
      <c r="D142" s="39">
        <f t="shared" si="4"/>
        <v>15</v>
      </c>
      <c r="E142" s="39">
        <v>77900.0</v>
      </c>
      <c r="F142" s="23">
        <f t="shared" ref="F142:G142" si="33">C98</f>
        <v>-61258.10175</v>
      </c>
      <c r="G142" s="23">
        <f t="shared" si="33"/>
        <v>3752555031</v>
      </c>
      <c r="H142" s="23">
        <f t="shared" si="6"/>
        <v>139158.1018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>
      <c r="A143" s="22">
        <v>30.0</v>
      </c>
      <c r="B143" s="39">
        <v>90.3</v>
      </c>
      <c r="C143" s="39">
        <v>16.0</v>
      </c>
      <c r="D143" s="39">
        <f t="shared" si="4"/>
        <v>0</v>
      </c>
      <c r="E143" s="39">
        <v>190000.0</v>
      </c>
      <c r="F143" s="23">
        <f t="shared" ref="F143:G143" si="34">C99</f>
        <v>-51015.78369</v>
      </c>
      <c r="G143" s="23">
        <f t="shared" si="34"/>
        <v>2602610185</v>
      </c>
      <c r="H143" s="23">
        <f t="shared" si="6"/>
        <v>241015.7837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>
      <c r="A144" s="22">
        <v>31.0</v>
      </c>
      <c r="B144" s="39">
        <v>26.1</v>
      </c>
      <c r="C144" s="39">
        <v>24.0</v>
      </c>
      <c r="D144" s="39">
        <f t="shared" si="4"/>
        <v>3</v>
      </c>
      <c r="E144" s="39">
        <v>87000.0</v>
      </c>
      <c r="F144" s="23">
        <f t="shared" ref="F144:G144" si="35">C100</f>
        <v>-73812.51442</v>
      </c>
      <c r="G144" s="23">
        <f t="shared" si="35"/>
        <v>5448287286</v>
      </c>
      <c r="H144" s="23">
        <f t="shared" si="6"/>
        <v>160812.5144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>
      <c r="A145" s="22">
        <v>32.0</v>
      </c>
      <c r="B145" s="39">
        <v>39.5</v>
      </c>
      <c r="C145" s="39">
        <v>18.0</v>
      </c>
      <c r="D145" s="39">
        <f t="shared" si="4"/>
        <v>4</v>
      </c>
      <c r="E145" s="39">
        <v>109000.0</v>
      </c>
      <c r="F145" s="23">
        <f t="shared" ref="F145:G145" si="36">C101</f>
        <v>-53370.08014</v>
      </c>
      <c r="G145" s="23">
        <f t="shared" si="36"/>
        <v>2848365454</v>
      </c>
      <c r="H145" s="23">
        <f t="shared" si="6"/>
        <v>162370.0801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>
      <c r="A146" s="22">
        <v>33.0</v>
      </c>
      <c r="B146" s="39">
        <v>68.4</v>
      </c>
      <c r="C146" s="39">
        <v>7.0</v>
      </c>
      <c r="D146" s="39">
        <f t="shared" si="4"/>
        <v>8</v>
      </c>
      <c r="E146" s="39">
        <v>130000.0</v>
      </c>
      <c r="F146" s="23">
        <f t="shared" ref="F146:G146" si="37">C102</f>
        <v>-40279.89772</v>
      </c>
      <c r="G146" s="23">
        <f t="shared" si="37"/>
        <v>1622470160</v>
      </c>
      <c r="H146" s="23">
        <f t="shared" si="6"/>
        <v>170279.8977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>
      <c r="A147" s="22">
        <v>34.0</v>
      </c>
      <c r="B147" s="39">
        <v>49.9</v>
      </c>
      <c r="C147" s="39">
        <v>5.0</v>
      </c>
      <c r="D147" s="39">
        <f t="shared" si="4"/>
        <v>56</v>
      </c>
      <c r="E147" s="39">
        <v>104000.0</v>
      </c>
      <c r="F147" s="23">
        <f t="shared" ref="F147:G147" si="38">C103</f>
        <v>11792.3707</v>
      </c>
      <c r="G147" s="23">
        <f t="shared" si="38"/>
        <v>139060006.7</v>
      </c>
      <c r="H147" s="23">
        <f t="shared" si="6"/>
        <v>92207.6293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>
      <c r="A148" s="22">
        <v>35.0</v>
      </c>
      <c r="B148" s="39">
        <v>57.1</v>
      </c>
      <c r="C148" s="39">
        <v>2.0</v>
      </c>
      <c r="D148" s="39">
        <f t="shared" si="4"/>
        <v>1</v>
      </c>
      <c r="E148" s="39">
        <v>135000.0</v>
      </c>
      <c r="F148" s="23">
        <f t="shared" ref="F148:G148" si="39">C104</f>
        <v>-7395.63745</v>
      </c>
      <c r="G148" s="23">
        <f t="shared" si="39"/>
        <v>54695453.29</v>
      </c>
      <c r="H148" s="23">
        <f t="shared" si="6"/>
        <v>142395.6374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>
      <c r="A149" s="22">
        <v>36.0</v>
      </c>
      <c r="B149" s="39">
        <v>37.5</v>
      </c>
      <c r="C149" s="39">
        <v>24.0</v>
      </c>
      <c r="D149" s="39">
        <f t="shared" si="4"/>
        <v>0</v>
      </c>
      <c r="E149" s="39">
        <v>93000.0</v>
      </c>
      <c r="F149" s="23">
        <f t="shared" ref="F149:G149" si="40">C105</f>
        <v>-88728.64942</v>
      </c>
      <c r="G149" s="23">
        <f t="shared" si="40"/>
        <v>7872773227</v>
      </c>
      <c r="H149" s="23">
        <f t="shared" si="6"/>
        <v>181728.6494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>
      <c r="A150" s="22">
        <v>37.0</v>
      </c>
      <c r="B150" s="39">
        <v>60.0</v>
      </c>
      <c r="C150" s="39">
        <v>2.0</v>
      </c>
      <c r="D150" s="39">
        <f t="shared" si="4"/>
        <v>0</v>
      </c>
      <c r="E150" s="39">
        <v>112000.0</v>
      </c>
      <c r="F150" s="23">
        <f t="shared" ref="F150:G150" si="41">C106</f>
        <v>-35923.83575</v>
      </c>
      <c r="G150" s="23">
        <f t="shared" si="41"/>
        <v>1290521975</v>
      </c>
      <c r="H150" s="23">
        <f t="shared" si="6"/>
        <v>147923.8358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>
      <c r="A151" s="22">
        <v>38.0</v>
      </c>
      <c r="B151" s="39">
        <v>30.3</v>
      </c>
      <c r="C151" s="39">
        <v>1.0</v>
      </c>
      <c r="D151" s="39">
        <f t="shared" si="4"/>
        <v>64</v>
      </c>
      <c r="E151" s="39">
        <v>58000.0</v>
      </c>
      <c r="F151" s="23">
        <f t="shared" ref="F151:G151" si="42">C107</f>
        <v>16951.83961</v>
      </c>
      <c r="G151" s="23">
        <f t="shared" si="42"/>
        <v>287364866.2</v>
      </c>
      <c r="H151" s="23">
        <f t="shared" si="6"/>
        <v>41048.16039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>
      <c r="A152" s="22">
        <v>39.0</v>
      </c>
      <c r="B152" s="39">
        <v>33.3</v>
      </c>
      <c r="C152" s="39">
        <v>5.0</v>
      </c>
      <c r="D152" s="39">
        <f t="shared" si="4"/>
        <v>51</v>
      </c>
      <c r="E152" s="39">
        <v>64900.0</v>
      </c>
      <c r="F152" s="23">
        <f t="shared" ref="F152:G152" si="43">C108</f>
        <v>-5055.696086</v>
      </c>
      <c r="G152" s="23">
        <f t="shared" si="43"/>
        <v>25560062.92</v>
      </c>
      <c r="H152" s="23">
        <f t="shared" si="6"/>
        <v>69955.69609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>
      <c r="A153" s="22">
        <v>40.0</v>
      </c>
      <c r="B153" s="39">
        <v>58.9</v>
      </c>
      <c r="C153" s="39">
        <v>10.0</v>
      </c>
      <c r="D153" s="39">
        <f t="shared" si="4"/>
        <v>3</v>
      </c>
      <c r="E153" s="39">
        <v>115000.0</v>
      </c>
      <c r="F153" s="23">
        <f t="shared" ref="F153:G153" si="44">C109</f>
        <v>-53950.26263</v>
      </c>
      <c r="G153" s="23">
        <f t="shared" si="44"/>
        <v>2910630838</v>
      </c>
      <c r="H153" s="23">
        <f t="shared" si="6"/>
        <v>168950.2626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>
      <c r="A154" s="22">
        <v>41.0</v>
      </c>
      <c r="B154" s="39">
        <v>49.8</v>
      </c>
      <c r="C154" s="39">
        <v>2.0</v>
      </c>
      <c r="D154" s="39">
        <f t="shared" si="4"/>
        <v>35</v>
      </c>
      <c r="E154" s="39">
        <v>101000.0</v>
      </c>
      <c r="F154" s="23">
        <f t="shared" ref="F154:G154" si="45">C110</f>
        <v>92.87884811</v>
      </c>
      <c r="G154" s="23">
        <f t="shared" si="45"/>
        <v>8626.480426</v>
      </c>
      <c r="H154" s="23">
        <f t="shared" si="6"/>
        <v>100907.1212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>
      <c r="A155" s="11"/>
      <c r="B155" s="73"/>
      <c r="C155" s="73"/>
      <c r="D155" s="73"/>
      <c r="E155" s="73"/>
      <c r="F155" s="11"/>
      <c r="G155" s="1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>
      <c r="A156" s="74" t="s">
        <v>64</v>
      </c>
      <c r="C156" s="73"/>
      <c r="D156" s="73"/>
      <c r="E156" s="73"/>
      <c r="F156" s="11"/>
      <c r="G156" s="1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>
      <c r="A157" s="11"/>
      <c r="B157" s="73"/>
      <c r="C157" s="73"/>
      <c r="D157" s="73"/>
      <c r="E157" s="73"/>
      <c r="F157" s="11"/>
      <c r="G157" s="1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>
      <c r="A158" s="11"/>
      <c r="B158" s="73"/>
      <c r="C158" s="73"/>
      <c r="D158" s="73"/>
      <c r="E158" s="73"/>
      <c r="F158" s="11"/>
      <c r="G158" s="1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>
      <c r="A159" s="11"/>
      <c r="B159" s="73"/>
      <c r="C159" s="73"/>
      <c r="D159" s="73"/>
      <c r="E159" s="73"/>
      <c r="F159" s="11"/>
      <c r="G159" s="1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>
      <c r="A160" s="11"/>
      <c r="B160" s="73"/>
      <c r="C160" s="73"/>
      <c r="D160" s="73"/>
      <c r="E160" s="73"/>
      <c r="F160" s="11"/>
      <c r="G160" s="1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>
      <c r="A161" s="11"/>
      <c r="B161" s="73"/>
      <c r="C161" s="73"/>
      <c r="D161" s="73"/>
      <c r="E161" s="73"/>
      <c r="F161" s="11"/>
      <c r="G161" s="1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>
      <c r="A162" s="11"/>
      <c r="B162" s="73"/>
      <c r="C162" s="73"/>
      <c r="D162" s="73"/>
      <c r="E162" s="73"/>
      <c r="F162" s="11"/>
      <c r="G162" s="1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>
      <c r="A163" s="11"/>
      <c r="B163" s="73"/>
      <c r="C163" s="73"/>
      <c r="D163" s="73"/>
      <c r="E163" s="73"/>
      <c r="F163" s="11"/>
      <c r="G163" s="1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>
      <c r="A171" s="3"/>
      <c r="B171" s="3"/>
      <c r="C171" s="3"/>
      <c r="D171" s="3"/>
      <c r="E171" s="3"/>
      <c r="F171" s="3"/>
      <c r="G171" s="3"/>
      <c r="H171" s="75" t="s">
        <v>125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>
      <c r="A173" s="5" t="s">
        <v>65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>
      <c r="A175" s="46" t="s">
        <v>32</v>
      </c>
      <c r="B175" s="46" t="s">
        <v>34</v>
      </c>
      <c r="C175" s="46" t="s">
        <v>66</v>
      </c>
      <c r="D175" s="46" t="s">
        <v>67</v>
      </c>
      <c r="E175" s="3"/>
      <c r="F175" s="3"/>
      <c r="G175" s="3"/>
      <c r="H175" s="17" t="s">
        <v>32</v>
      </c>
      <c r="I175" s="17" t="s">
        <v>1</v>
      </c>
      <c r="J175" s="20" t="s">
        <v>67</v>
      </c>
      <c r="K175" s="20" t="s">
        <v>68</v>
      </c>
      <c r="L175" s="3"/>
      <c r="M175" s="17" t="s">
        <v>32</v>
      </c>
      <c r="N175" s="1" t="s">
        <v>2</v>
      </c>
      <c r="O175" s="20" t="s">
        <v>67</v>
      </c>
      <c r="P175" s="20" t="s">
        <v>68</v>
      </c>
      <c r="Q175" s="3"/>
      <c r="R175" s="17" t="s">
        <v>32</v>
      </c>
      <c r="S175" s="1" t="s">
        <v>3</v>
      </c>
      <c r="T175" s="20" t="s">
        <v>67</v>
      </c>
      <c r="U175" s="20" t="s">
        <v>68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>
      <c r="A176" s="22">
        <v>1.0</v>
      </c>
      <c r="B176" s="22">
        <f t="shared" ref="B176:B216" si="46">C70</f>
        <v>-72584.77039</v>
      </c>
      <c r="C176" s="23">
        <f t="shared" ref="C176:C216" si="47">ABS(B176)</f>
        <v>72584.77039</v>
      </c>
      <c r="D176" s="23">
        <f t="shared" ref="D176:D216" si="48">_xlfn.RANK.AVG(C176, $C$176:$C$216, 1)</f>
        <v>36</v>
      </c>
      <c r="E176" s="3"/>
      <c r="F176" s="3"/>
      <c r="G176" s="3"/>
      <c r="H176" s="22">
        <v>1.0</v>
      </c>
      <c r="I176" s="23">
        <f t="shared" ref="I176:I216" si="49">B2</f>
        <v>73.8</v>
      </c>
      <c r="J176" s="23">
        <f t="shared" ref="J176:J216" si="50">_xlfn.RANK.AVG(I176, $I$176:$I$216, 1)</f>
        <v>32</v>
      </c>
      <c r="K176" s="23">
        <f t="shared" ref="K176:K216" si="51">(D176-J176)^2</f>
        <v>16</v>
      </c>
      <c r="L176" s="3"/>
      <c r="M176" s="22">
        <v>1.0</v>
      </c>
      <c r="N176" s="23">
        <f t="shared" ref="N176:N216" si="52">C2</f>
        <v>5</v>
      </c>
      <c r="O176" s="23">
        <f t="shared" ref="O176:O216" si="53">_xlfn.RANK.AVG(N176, $N$176:$N$216, 1)</f>
        <v>17.5</v>
      </c>
      <c r="P176" s="23">
        <f t="shared" ref="P176:P216" si="54">(D176-O176)^2</f>
        <v>342.25</v>
      </c>
      <c r="Q176" s="3"/>
      <c r="R176" s="22">
        <v>1.0</v>
      </c>
      <c r="S176" s="23">
        <f t="shared" ref="S176:S216" si="55">D2</f>
        <v>0</v>
      </c>
      <c r="T176" s="23">
        <f t="shared" ref="T176:T216" si="56">_xlfn.RANK.AVG(S176, $S$176:$S$216, 1)</f>
        <v>4.5</v>
      </c>
      <c r="U176" s="23">
        <f t="shared" ref="U176:U216" si="57">(D176-T176)^2</f>
        <v>992.25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>
      <c r="A177" s="22">
        <v>2.0</v>
      </c>
      <c r="B177" s="22">
        <f t="shared" si="46"/>
        <v>22002.08541</v>
      </c>
      <c r="C177" s="23">
        <f t="shared" si="47"/>
        <v>22002.08541</v>
      </c>
      <c r="D177" s="23">
        <f t="shared" si="48"/>
        <v>16</v>
      </c>
      <c r="E177" s="3"/>
      <c r="F177" s="3"/>
      <c r="G177" s="3"/>
      <c r="H177" s="22">
        <v>2.0</v>
      </c>
      <c r="I177" s="23">
        <f t="shared" si="49"/>
        <v>98.1</v>
      </c>
      <c r="J177" s="23">
        <f t="shared" si="50"/>
        <v>37</v>
      </c>
      <c r="K177" s="23">
        <f t="shared" si="51"/>
        <v>441</v>
      </c>
      <c r="L177" s="3"/>
      <c r="M177" s="22">
        <v>2.0</v>
      </c>
      <c r="N177" s="23">
        <f t="shared" si="52"/>
        <v>6</v>
      </c>
      <c r="O177" s="23">
        <f t="shared" si="53"/>
        <v>21</v>
      </c>
      <c r="P177" s="23">
        <f t="shared" si="54"/>
        <v>25</v>
      </c>
      <c r="Q177" s="3"/>
      <c r="R177" s="22">
        <v>2.0</v>
      </c>
      <c r="S177" s="23">
        <f t="shared" si="55"/>
        <v>10</v>
      </c>
      <c r="T177" s="23">
        <f t="shared" si="56"/>
        <v>23</v>
      </c>
      <c r="U177" s="23">
        <f t="shared" si="57"/>
        <v>49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>
      <c r="A178" s="22">
        <v>3.0</v>
      </c>
      <c r="B178" s="22">
        <f t="shared" si="46"/>
        <v>5349.375936</v>
      </c>
      <c r="C178" s="23">
        <f t="shared" si="47"/>
        <v>5349.375936</v>
      </c>
      <c r="D178" s="23">
        <f t="shared" si="48"/>
        <v>7</v>
      </c>
      <c r="E178" s="3"/>
      <c r="F178" s="3"/>
      <c r="G178" s="3"/>
      <c r="H178" s="22">
        <v>3.0</v>
      </c>
      <c r="I178" s="23">
        <f t="shared" si="49"/>
        <v>76.9</v>
      </c>
      <c r="J178" s="23">
        <f t="shared" si="50"/>
        <v>33</v>
      </c>
      <c r="K178" s="23">
        <f t="shared" si="51"/>
        <v>676</v>
      </c>
      <c r="L178" s="3"/>
      <c r="M178" s="22">
        <v>3.0</v>
      </c>
      <c r="N178" s="23">
        <f t="shared" si="52"/>
        <v>2</v>
      </c>
      <c r="O178" s="23">
        <f t="shared" si="53"/>
        <v>7</v>
      </c>
      <c r="P178" s="23">
        <f t="shared" si="54"/>
        <v>0</v>
      </c>
      <c r="Q178" s="3"/>
      <c r="R178" s="22">
        <v>3.0</v>
      </c>
      <c r="S178" s="23">
        <f t="shared" si="55"/>
        <v>13</v>
      </c>
      <c r="T178" s="23">
        <f t="shared" si="56"/>
        <v>24</v>
      </c>
      <c r="U178" s="23">
        <f t="shared" si="57"/>
        <v>289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>
      <c r="A179" s="22">
        <v>4.0</v>
      </c>
      <c r="B179" s="22">
        <f t="shared" si="46"/>
        <v>-1038.745114</v>
      </c>
      <c r="C179" s="23">
        <f t="shared" si="47"/>
        <v>1038.745114</v>
      </c>
      <c r="D179" s="23">
        <f t="shared" si="48"/>
        <v>3</v>
      </c>
      <c r="E179" s="3"/>
      <c r="F179" s="3"/>
      <c r="G179" s="3"/>
      <c r="H179" s="22">
        <v>4.0</v>
      </c>
      <c r="I179" s="23">
        <f t="shared" si="49"/>
        <v>45</v>
      </c>
      <c r="J179" s="23">
        <f t="shared" si="50"/>
        <v>15</v>
      </c>
      <c r="K179" s="23">
        <f t="shared" si="51"/>
        <v>144</v>
      </c>
      <c r="L179" s="3"/>
      <c r="M179" s="22">
        <v>4.0</v>
      </c>
      <c r="N179" s="23">
        <f t="shared" si="52"/>
        <v>4</v>
      </c>
      <c r="O179" s="23">
        <f t="shared" si="53"/>
        <v>13</v>
      </c>
      <c r="P179" s="23">
        <f t="shared" si="54"/>
        <v>100</v>
      </c>
      <c r="Q179" s="3"/>
      <c r="R179" s="22">
        <v>4.0</v>
      </c>
      <c r="S179" s="23">
        <f t="shared" si="55"/>
        <v>63</v>
      </c>
      <c r="T179" s="23">
        <f t="shared" si="56"/>
        <v>39</v>
      </c>
      <c r="U179" s="23">
        <f t="shared" si="57"/>
        <v>1296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>
      <c r="A180" s="22">
        <v>5.0</v>
      </c>
      <c r="B180" s="22">
        <f t="shared" si="46"/>
        <v>-7588.856877</v>
      </c>
      <c r="C180" s="23">
        <f t="shared" si="47"/>
        <v>7588.856877</v>
      </c>
      <c r="D180" s="23">
        <f t="shared" si="48"/>
        <v>9</v>
      </c>
      <c r="E180" s="3"/>
      <c r="F180" s="3"/>
      <c r="G180" s="3"/>
      <c r="H180" s="22">
        <v>5.0</v>
      </c>
      <c r="I180" s="23">
        <f t="shared" si="49"/>
        <v>55.6</v>
      </c>
      <c r="J180" s="23">
        <f t="shared" si="50"/>
        <v>20.5</v>
      </c>
      <c r="K180" s="23">
        <f t="shared" si="51"/>
        <v>132.25</v>
      </c>
      <c r="L180" s="3"/>
      <c r="M180" s="22">
        <v>5.0</v>
      </c>
      <c r="N180" s="23">
        <f t="shared" si="52"/>
        <v>7</v>
      </c>
      <c r="O180" s="23">
        <f t="shared" si="53"/>
        <v>23.5</v>
      </c>
      <c r="P180" s="23">
        <f t="shared" si="54"/>
        <v>210.25</v>
      </c>
      <c r="Q180" s="3"/>
      <c r="R180" s="22">
        <v>5.0</v>
      </c>
      <c r="S180" s="23">
        <f t="shared" si="55"/>
        <v>47</v>
      </c>
      <c r="T180" s="23">
        <f t="shared" si="56"/>
        <v>35</v>
      </c>
      <c r="U180" s="23">
        <f t="shared" si="57"/>
        <v>676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>
      <c r="A181" s="22">
        <v>6.0</v>
      </c>
      <c r="B181" s="22">
        <f t="shared" si="46"/>
        <v>164273.6948</v>
      </c>
      <c r="C181" s="23">
        <f t="shared" si="47"/>
        <v>164273.6948</v>
      </c>
      <c r="D181" s="23">
        <f t="shared" si="48"/>
        <v>40</v>
      </c>
      <c r="E181" s="3"/>
      <c r="F181" s="3"/>
      <c r="G181" s="3"/>
      <c r="H181" s="22">
        <v>6.0</v>
      </c>
      <c r="I181" s="23">
        <f t="shared" si="49"/>
        <v>122</v>
      </c>
      <c r="J181" s="23">
        <f t="shared" si="50"/>
        <v>39</v>
      </c>
      <c r="K181" s="23">
        <f t="shared" si="51"/>
        <v>1</v>
      </c>
      <c r="L181" s="3"/>
      <c r="M181" s="22">
        <v>6.0</v>
      </c>
      <c r="N181" s="23">
        <f t="shared" si="52"/>
        <v>30</v>
      </c>
      <c r="O181" s="23">
        <f t="shared" si="53"/>
        <v>41</v>
      </c>
      <c r="P181" s="23">
        <f t="shared" si="54"/>
        <v>1</v>
      </c>
      <c r="Q181" s="3"/>
      <c r="R181" s="22">
        <v>6.0</v>
      </c>
      <c r="S181" s="23">
        <f t="shared" si="55"/>
        <v>3</v>
      </c>
      <c r="T181" s="23">
        <f t="shared" si="56"/>
        <v>16</v>
      </c>
      <c r="U181" s="23">
        <f t="shared" si="57"/>
        <v>576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>
      <c r="A182" s="22">
        <v>7.0</v>
      </c>
      <c r="B182" s="22">
        <f t="shared" si="46"/>
        <v>3939.939111</v>
      </c>
      <c r="C182" s="23">
        <f t="shared" si="47"/>
        <v>3939.939111</v>
      </c>
      <c r="D182" s="23">
        <f t="shared" si="48"/>
        <v>5</v>
      </c>
      <c r="E182" s="3"/>
      <c r="F182" s="3"/>
      <c r="G182" s="3"/>
      <c r="H182" s="22">
        <v>7.0</v>
      </c>
      <c r="I182" s="23">
        <f t="shared" si="49"/>
        <v>48.9</v>
      </c>
      <c r="J182" s="23">
        <f t="shared" si="50"/>
        <v>17</v>
      </c>
      <c r="K182" s="23">
        <f t="shared" si="51"/>
        <v>144</v>
      </c>
      <c r="L182" s="3"/>
      <c r="M182" s="22">
        <v>7.0</v>
      </c>
      <c r="N182" s="23">
        <f t="shared" si="52"/>
        <v>2</v>
      </c>
      <c r="O182" s="23">
        <f t="shared" si="53"/>
        <v>7</v>
      </c>
      <c r="P182" s="23">
        <f t="shared" si="54"/>
        <v>4</v>
      </c>
      <c r="Q182" s="3"/>
      <c r="R182" s="22">
        <v>7.0</v>
      </c>
      <c r="S182" s="23">
        <f t="shared" si="55"/>
        <v>39</v>
      </c>
      <c r="T182" s="23">
        <f t="shared" si="56"/>
        <v>34</v>
      </c>
      <c r="U182" s="23">
        <f t="shared" si="57"/>
        <v>841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>
      <c r="A183" s="22">
        <v>8.0</v>
      </c>
      <c r="B183" s="22">
        <f t="shared" si="46"/>
        <v>733313.1926</v>
      </c>
      <c r="C183" s="23">
        <f t="shared" si="47"/>
        <v>733313.1926</v>
      </c>
      <c r="D183" s="23">
        <f t="shared" si="48"/>
        <v>41</v>
      </c>
      <c r="E183" s="3"/>
      <c r="F183" s="3"/>
      <c r="G183" s="3"/>
      <c r="H183" s="22">
        <v>8.0</v>
      </c>
      <c r="I183" s="23">
        <f t="shared" si="49"/>
        <v>41.15</v>
      </c>
      <c r="J183" s="23">
        <f t="shared" si="50"/>
        <v>12</v>
      </c>
      <c r="K183" s="23">
        <f t="shared" si="51"/>
        <v>841</v>
      </c>
      <c r="L183" s="3"/>
      <c r="M183" s="22">
        <v>8.0</v>
      </c>
      <c r="N183" s="23">
        <f t="shared" si="52"/>
        <v>10</v>
      </c>
      <c r="O183" s="23">
        <f t="shared" si="53"/>
        <v>30</v>
      </c>
      <c r="P183" s="23">
        <f t="shared" si="54"/>
        <v>121</v>
      </c>
      <c r="Q183" s="3"/>
      <c r="R183" s="22">
        <v>8.0</v>
      </c>
      <c r="S183" s="23">
        <f t="shared" si="55"/>
        <v>0</v>
      </c>
      <c r="T183" s="23">
        <f t="shared" si="56"/>
        <v>4.5</v>
      </c>
      <c r="U183" s="23">
        <f t="shared" si="57"/>
        <v>1332.25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>
      <c r="A184" s="22">
        <v>9.0</v>
      </c>
      <c r="B184" s="22">
        <f t="shared" si="46"/>
        <v>-182.9469235</v>
      </c>
      <c r="C184" s="23">
        <f t="shared" si="47"/>
        <v>182.9469235</v>
      </c>
      <c r="D184" s="23">
        <f t="shared" si="48"/>
        <v>2</v>
      </c>
      <c r="E184" s="3"/>
      <c r="F184" s="3"/>
      <c r="G184" s="3"/>
      <c r="H184" s="22">
        <v>9.0</v>
      </c>
      <c r="I184" s="23">
        <f t="shared" si="49"/>
        <v>42.1</v>
      </c>
      <c r="J184" s="23">
        <f t="shared" si="50"/>
        <v>13</v>
      </c>
      <c r="K184" s="23">
        <f t="shared" si="51"/>
        <v>121</v>
      </c>
      <c r="L184" s="3"/>
      <c r="M184" s="22">
        <v>9.0</v>
      </c>
      <c r="N184" s="23">
        <f t="shared" si="52"/>
        <v>4</v>
      </c>
      <c r="O184" s="23">
        <f t="shared" si="53"/>
        <v>13</v>
      </c>
      <c r="P184" s="23">
        <f t="shared" si="54"/>
        <v>121</v>
      </c>
      <c r="Q184" s="3"/>
      <c r="R184" s="22">
        <v>9.0</v>
      </c>
      <c r="S184" s="23">
        <f t="shared" si="55"/>
        <v>5</v>
      </c>
      <c r="T184" s="23">
        <f t="shared" si="56"/>
        <v>20</v>
      </c>
      <c r="U184" s="23">
        <f t="shared" si="57"/>
        <v>324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>
      <c r="A185" s="22">
        <v>10.0</v>
      </c>
      <c r="B185" s="22">
        <f t="shared" si="46"/>
        <v>-22909.87446</v>
      </c>
      <c r="C185" s="23">
        <f t="shared" si="47"/>
        <v>22909.87446</v>
      </c>
      <c r="D185" s="23">
        <f t="shared" si="48"/>
        <v>17</v>
      </c>
      <c r="E185" s="3"/>
      <c r="F185" s="3"/>
      <c r="G185" s="3"/>
      <c r="H185" s="22">
        <v>10.0</v>
      </c>
      <c r="I185" s="23">
        <f t="shared" si="49"/>
        <v>175.6</v>
      </c>
      <c r="J185" s="23">
        <f t="shared" si="50"/>
        <v>41</v>
      </c>
      <c r="K185" s="23">
        <f t="shared" si="51"/>
        <v>576</v>
      </c>
      <c r="L185" s="3"/>
      <c r="M185" s="22">
        <v>10.0</v>
      </c>
      <c r="N185" s="23">
        <f t="shared" si="52"/>
        <v>5</v>
      </c>
      <c r="O185" s="23">
        <f t="shared" si="53"/>
        <v>17.5</v>
      </c>
      <c r="P185" s="23">
        <f t="shared" si="54"/>
        <v>0.25</v>
      </c>
      <c r="Q185" s="3"/>
      <c r="R185" s="22">
        <v>10.0</v>
      </c>
      <c r="S185" s="23">
        <f t="shared" si="55"/>
        <v>0</v>
      </c>
      <c r="T185" s="23">
        <f t="shared" si="56"/>
        <v>4.5</v>
      </c>
      <c r="U185" s="23">
        <f t="shared" si="57"/>
        <v>156.25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>
      <c r="A186" s="22">
        <v>11.0</v>
      </c>
      <c r="B186" s="22">
        <f t="shared" si="46"/>
        <v>-44569.30379</v>
      </c>
      <c r="C186" s="23">
        <f t="shared" si="47"/>
        <v>44569.30379</v>
      </c>
      <c r="D186" s="23">
        <f t="shared" si="48"/>
        <v>26</v>
      </c>
      <c r="E186" s="3"/>
      <c r="F186" s="3"/>
      <c r="G186" s="3"/>
      <c r="H186" s="22">
        <v>11.0</v>
      </c>
      <c r="I186" s="23">
        <f t="shared" si="49"/>
        <v>56.6</v>
      </c>
      <c r="J186" s="23">
        <f t="shared" si="50"/>
        <v>22</v>
      </c>
      <c r="K186" s="23">
        <f t="shared" si="51"/>
        <v>16</v>
      </c>
      <c r="L186" s="3"/>
      <c r="M186" s="22">
        <v>11.0</v>
      </c>
      <c r="N186" s="23">
        <f t="shared" si="52"/>
        <v>2</v>
      </c>
      <c r="O186" s="23">
        <f t="shared" si="53"/>
        <v>7</v>
      </c>
      <c r="P186" s="23">
        <f t="shared" si="54"/>
        <v>361</v>
      </c>
      <c r="Q186" s="3"/>
      <c r="R186" s="22">
        <v>11.0</v>
      </c>
      <c r="S186" s="23">
        <f t="shared" si="55"/>
        <v>0</v>
      </c>
      <c r="T186" s="23">
        <f t="shared" si="56"/>
        <v>4.5</v>
      </c>
      <c r="U186" s="23">
        <f t="shared" si="57"/>
        <v>462.25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>
      <c r="A187" s="22">
        <v>12.0</v>
      </c>
      <c r="B187" s="22">
        <f t="shared" si="46"/>
        <v>-41157.03049</v>
      </c>
      <c r="C187" s="23">
        <f t="shared" si="47"/>
        <v>41157.03049</v>
      </c>
      <c r="D187" s="23">
        <f t="shared" si="48"/>
        <v>25</v>
      </c>
      <c r="E187" s="3"/>
      <c r="F187" s="3"/>
      <c r="G187" s="3"/>
      <c r="H187" s="22">
        <v>12.0</v>
      </c>
      <c r="I187" s="23">
        <f t="shared" si="49"/>
        <v>79.3</v>
      </c>
      <c r="J187" s="23">
        <f t="shared" si="50"/>
        <v>34</v>
      </c>
      <c r="K187" s="23">
        <f t="shared" si="51"/>
        <v>81</v>
      </c>
      <c r="L187" s="3"/>
      <c r="M187" s="22">
        <v>12.0</v>
      </c>
      <c r="N187" s="23">
        <f t="shared" si="52"/>
        <v>5</v>
      </c>
      <c r="O187" s="23">
        <f t="shared" si="53"/>
        <v>17.5</v>
      </c>
      <c r="P187" s="23">
        <f t="shared" si="54"/>
        <v>56.25</v>
      </c>
      <c r="Q187" s="3"/>
      <c r="R187" s="22">
        <v>12.0</v>
      </c>
      <c r="S187" s="23">
        <f t="shared" si="55"/>
        <v>14</v>
      </c>
      <c r="T187" s="23">
        <f t="shared" si="56"/>
        <v>25</v>
      </c>
      <c r="U187" s="23">
        <f t="shared" si="57"/>
        <v>0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>
      <c r="A188" s="22">
        <v>13.0</v>
      </c>
      <c r="B188" s="22">
        <f t="shared" si="46"/>
        <v>1794.639237</v>
      </c>
      <c r="C188" s="23">
        <f t="shared" si="47"/>
        <v>1794.639237</v>
      </c>
      <c r="D188" s="23">
        <f t="shared" si="48"/>
        <v>4</v>
      </c>
      <c r="E188" s="3"/>
      <c r="F188" s="3"/>
      <c r="G188" s="3"/>
      <c r="H188" s="22">
        <v>13.0</v>
      </c>
      <c r="I188" s="23">
        <f t="shared" si="49"/>
        <v>32.2</v>
      </c>
      <c r="J188" s="23">
        <f t="shared" si="50"/>
        <v>4</v>
      </c>
      <c r="K188" s="23">
        <f t="shared" si="51"/>
        <v>0</v>
      </c>
      <c r="L188" s="3"/>
      <c r="M188" s="22">
        <v>13.0</v>
      </c>
      <c r="N188" s="23">
        <f t="shared" si="52"/>
        <v>5</v>
      </c>
      <c r="O188" s="23">
        <f t="shared" si="53"/>
        <v>17.5</v>
      </c>
      <c r="P188" s="23">
        <f t="shared" si="54"/>
        <v>182.25</v>
      </c>
      <c r="Q188" s="3"/>
      <c r="R188" s="22">
        <v>13.0</v>
      </c>
      <c r="S188" s="23">
        <f t="shared" si="55"/>
        <v>2</v>
      </c>
      <c r="T188" s="23">
        <f t="shared" si="56"/>
        <v>12.5</v>
      </c>
      <c r="U188" s="23">
        <f t="shared" si="57"/>
        <v>72.25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>
      <c r="A189" s="22">
        <v>14.0</v>
      </c>
      <c r="B189" s="22">
        <f t="shared" si="46"/>
        <v>-15538.28192</v>
      </c>
      <c r="C189" s="23">
        <f t="shared" si="47"/>
        <v>15538.28192</v>
      </c>
      <c r="D189" s="23">
        <f t="shared" si="48"/>
        <v>11</v>
      </c>
      <c r="E189" s="3"/>
      <c r="F189" s="3"/>
      <c r="G189" s="3"/>
      <c r="H189" s="22">
        <v>14.0</v>
      </c>
      <c r="I189" s="23">
        <f t="shared" si="49"/>
        <v>107.7</v>
      </c>
      <c r="J189" s="23">
        <f t="shared" si="50"/>
        <v>38</v>
      </c>
      <c r="K189" s="23">
        <f t="shared" si="51"/>
        <v>729</v>
      </c>
      <c r="L189" s="3"/>
      <c r="M189" s="22">
        <v>14.0</v>
      </c>
      <c r="N189" s="23">
        <f t="shared" si="52"/>
        <v>16</v>
      </c>
      <c r="O189" s="23">
        <f t="shared" si="53"/>
        <v>35.5</v>
      </c>
      <c r="P189" s="23">
        <f t="shared" si="54"/>
        <v>600.25</v>
      </c>
      <c r="Q189" s="3"/>
      <c r="R189" s="22">
        <v>14.0</v>
      </c>
      <c r="S189" s="23">
        <f t="shared" si="55"/>
        <v>21</v>
      </c>
      <c r="T189" s="23">
        <f t="shared" si="56"/>
        <v>30.5</v>
      </c>
      <c r="U189" s="23">
        <f t="shared" si="57"/>
        <v>380.25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>
      <c r="A190" s="22">
        <v>15.0</v>
      </c>
      <c r="B190" s="22">
        <f t="shared" si="46"/>
        <v>77892.9211</v>
      </c>
      <c r="C190" s="23">
        <f t="shared" si="47"/>
        <v>77892.9211</v>
      </c>
      <c r="D190" s="23">
        <f t="shared" si="48"/>
        <v>38</v>
      </c>
      <c r="E190" s="3"/>
      <c r="F190" s="3"/>
      <c r="G190" s="3"/>
      <c r="H190" s="22">
        <v>15.0</v>
      </c>
      <c r="I190" s="23">
        <f t="shared" si="49"/>
        <v>65.5</v>
      </c>
      <c r="J190" s="23">
        <f t="shared" si="50"/>
        <v>30</v>
      </c>
      <c r="K190" s="23">
        <f t="shared" si="51"/>
        <v>64</v>
      </c>
      <c r="L190" s="3"/>
      <c r="M190" s="22">
        <v>15.0</v>
      </c>
      <c r="N190" s="23">
        <f t="shared" si="52"/>
        <v>2</v>
      </c>
      <c r="O190" s="23">
        <f t="shared" si="53"/>
        <v>7</v>
      </c>
      <c r="P190" s="23">
        <f t="shared" si="54"/>
        <v>961</v>
      </c>
      <c r="Q190" s="3"/>
      <c r="R190" s="22">
        <v>15.0</v>
      </c>
      <c r="S190" s="23">
        <f t="shared" si="55"/>
        <v>19</v>
      </c>
      <c r="T190" s="23">
        <f t="shared" si="56"/>
        <v>29</v>
      </c>
      <c r="U190" s="23">
        <f t="shared" si="57"/>
        <v>81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>
      <c r="A191" s="22">
        <v>16.0</v>
      </c>
      <c r="B191" s="22">
        <f t="shared" si="46"/>
        <v>-26906.39409</v>
      </c>
      <c r="C191" s="23">
        <f t="shared" si="47"/>
        <v>26906.39409</v>
      </c>
      <c r="D191" s="23">
        <f t="shared" si="48"/>
        <v>18</v>
      </c>
      <c r="E191" s="3"/>
      <c r="F191" s="3"/>
      <c r="G191" s="3"/>
      <c r="H191" s="22">
        <v>16.0</v>
      </c>
      <c r="I191" s="23">
        <f t="shared" si="49"/>
        <v>35.3</v>
      </c>
      <c r="J191" s="23">
        <f t="shared" si="50"/>
        <v>9</v>
      </c>
      <c r="K191" s="23">
        <f t="shared" si="51"/>
        <v>81</v>
      </c>
      <c r="L191" s="3"/>
      <c r="M191" s="22">
        <v>16.0</v>
      </c>
      <c r="N191" s="23">
        <f t="shared" si="52"/>
        <v>2</v>
      </c>
      <c r="O191" s="23">
        <f t="shared" si="53"/>
        <v>7</v>
      </c>
      <c r="P191" s="23">
        <f t="shared" si="54"/>
        <v>121</v>
      </c>
      <c r="Q191" s="3"/>
      <c r="R191" s="22">
        <v>16.0</v>
      </c>
      <c r="S191" s="23">
        <f t="shared" si="55"/>
        <v>21</v>
      </c>
      <c r="T191" s="23">
        <f t="shared" si="56"/>
        <v>30.5</v>
      </c>
      <c r="U191" s="23">
        <f t="shared" si="57"/>
        <v>156.25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>
      <c r="A192" s="22">
        <v>17.0</v>
      </c>
      <c r="B192" s="22">
        <f t="shared" si="46"/>
        <v>-55278.12326</v>
      </c>
      <c r="C192" s="23">
        <f t="shared" si="47"/>
        <v>55278.12326</v>
      </c>
      <c r="D192" s="23">
        <f t="shared" si="48"/>
        <v>32</v>
      </c>
      <c r="E192" s="3"/>
      <c r="F192" s="3"/>
      <c r="G192" s="3"/>
      <c r="H192" s="22">
        <v>17.0</v>
      </c>
      <c r="I192" s="23">
        <f t="shared" si="49"/>
        <v>45.8</v>
      </c>
      <c r="J192" s="23">
        <f t="shared" si="50"/>
        <v>16</v>
      </c>
      <c r="K192" s="23">
        <f t="shared" si="51"/>
        <v>256</v>
      </c>
      <c r="L192" s="3"/>
      <c r="M192" s="22">
        <v>17.0</v>
      </c>
      <c r="N192" s="23">
        <f t="shared" si="52"/>
        <v>7</v>
      </c>
      <c r="O192" s="23">
        <f t="shared" si="53"/>
        <v>23.5</v>
      </c>
      <c r="P192" s="23">
        <f t="shared" si="54"/>
        <v>72.25</v>
      </c>
      <c r="Q192" s="3"/>
      <c r="R192" s="22">
        <v>17.0</v>
      </c>
      <c r="S192" s="23">
        <f t="shared" si="55"/>
        <v>2</v>
      </c>
      <c r="T192" s="23">
        <f t="shared" si="56"/>
        <v>12.5</v>
      </c>
      <c r="U192" s="23">
        <f t="shared" si="57"/>
        <v>380.25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>
      <c r="A193" s="22">
        <v>18.0</v>
      </c>
      <c r="B193" s="22">
        <f t="shared" si="46"/>
        <v>-38556.75628</v>
      </c>
      <c r="C193" s="23">
        <f t="shared" si="47"/>
        <v>38556.75628</v>
      </c>
      <c r="D193" s="23">
        <f t="shared" si="48"/>
        <v>22</v>
      </c>
      <c r="E193" s="3"/>
      <c r="F193" s="3"/>
      <c r="G193" s="3"/>
      <c r="H193" s="22">
        <v>18.0</v>
      </c>
      <c r="I193" s="23">
        <f t="shared" si="49"/>
        <v>94.2</v>
      </c>
      <c r="J193" s="23">
        <f t="shared" si="50"/>
        <v>36</v>
      </c>
      <c r="K193" s="23">
        <f t="shared" si="51"/>
        <v>196</v>
      </c>
      <c r="L193" s="3"/>
      <c r="M193" s="22">
        <v>18.0</v>
      </c>
      <c r="N193" s="23">
        <f t="shared" si="52"/>
        <v>12</v>
      </c>
      <c r="O193" s="23">
        <f t="shared" si="53"/>
        <v>33</v>
      </c>
      <c r="P193" s="23">
        <f t="shared" si="54"/>
        <v>121</v>
      </c>
      <c r="Q193" s="3"/>
      <c r="R193" s="22">
        <v>18.0</v>
      </c>
      <c r="S193" s="23">
        <f t="shared" si="55"/>
        <v>8</v>
      </c>
      <c r="T193" s="23">
        <f t="shared" si="56"/>
        <v>21.5</v>
      </c>
      <c r="U193" s="23">
        <f t="shared" si="57"/>
        <v>0.25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>
      <c r="A194" s="22">
        <v>19.0</v>
      </c>
      <c r="B194" s="22">
        <f t="shared" si="46"/>
        <v>-50271.25691</v>
      </c>
      <c r="C194" s="23">
        <f t="shared" si="47"/>
        <v>50271.25691</v>
      </c>
      <c r="D194" s="23">
        <f t="shared" si="48"/>
        <v>28</v>
      </c>
      <c r="E194" s="3"/>
      <c r="F194" s="3"/>
      <c r="G194" s="3"/>
      <c r="H194" s="22">
        <v>19.0</v>
      </c>
      <c r="I194" s="23">
        <f t="shared" si="49"/>
        <v>58.3</v>
      </c>
      <c r="J194" s="23">
        <f t="shared" si="50"/>
        <v>25</v>
      </c>
      <c r="K194" s="23">
        <f t="shared" si="51"/>
        <v>9</v>
      </c>
      <c r="L194" s="3"/>
      <c r="M194" s="22">
        <v>19.0</v>
      </c>
      <c r="N194" s="23">
        <f t="shared" si="52"/>
        <v>13</v>
      </c>
      <c r="O194" s="23">
        <f t="shared" si="53"/>
        <v>34</v>
      </c>
      <c r="P194" s="23">
        <f t="shared" si="54"/>
        <v>36</v>
      </c>
      <c r="Q194" s="3"/>
      <c r="R194" s="22">
        <v>19.0</v>
      </c>
      <c r="S194" s="23">
        <f t="shared" si="55"/>
        <v>1</v>
      </c>
      <c r="T194" s="23">
        <f t="shared" si="56"/>
        <v>9.5</v>
      </c>
      <c r="U194" s="23">
        <f t="shared" si="57"/>
        <v>342.25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>
      <c r="A195" s="22">
        <v>20.0</v>
      </c>
      <c r="B195" s="22">
        <f t="shared" si="46"/>
        <v>-57448.4395</v>
      </c>
      <c r="C195" s="23">
        <f t="shared" si="47"/>
        <v>57448.4395</v>
      </c>
      <c r="D195" s="23">
        <f t="shared" si="48"/>
        <v>34</v>
      </c>
      <c r="E195" s="3"/>
      <c r="F195" s="3"/>
      <c r="G195" s="3"/>
      <c r="H195" s="22">
        <v>20.0</v>
      </c>
      <c r="I195" s="23">
        <f t="shared" si="49"/>
        <v>58.2</v>
      </c>
      <c r="J195" s="23">
        <f t="shared" si="50"/>
        <v>24</v>
      </c>
      <c r="K195" s="23">
        <f t="shared" si="51"/>
        <v>100</v>
      </c>
      <c r="L195" s="3"/>
      <c r="M195" s="22">
        <v>20.0</v>
      </c>
      <c r="N195" s="23">
        <f t="shared" si="52"/>
        <v>8</v>
      </c>
      <c r="O195" s="23">
        <f t="shared" si="53"/>
        <v>26.5</v>
      </c>
      <c r="P195" s="23">
        <f t="shared" si="54"/>
        <v>56.25</v>
      </c>
      <c r="Q195" s="3"/>
      <c r="R195" s="22">
        <v>20.0</v>
      </c>
      <c r="S195" s="23">
        <f t="shared" si="55"/>
        <v>2</v>
      </c>
      <c r="T195" s="23">
        <f t="shared" si="56"/>
        <v>12.5</v>
      </c>
      <c r="U195" s="23">
        <f t="shared" si="57"/>
        <v>462.25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>
      <c r="A196" s="22">
        <v>21.0</v>
      </c>
      <c r="B196" s="22">
        <f t="shared" si="46"/>
        <v>29113.55345</v>
      </c>
      <c r="C196" s="23">
        <f t="shared" si="47"/>
        <v>29113.55345</v>
      </c>
      <c r="D196" s="23">
        <f t="shared" si="48"/>
        <v>19</v>
      </c>
      <c r="E196" s="3"/>
      <c r="F196" s="3"/>
      <c r="G196" s="3"/>
      <c r="H196" s="22">
        <v>21.0</v>
      </c>
      <c r="I196" s="23">
        <f t="shared" si="49"/>
        <v>133.1</v>
      </c>
      <c r="J196" s="23">
        <f t="shared" si="50"/>
        <v>40</v>
      </c>
      <c r="K196" s="23">
        <f t="shared" si="51"/>
        <v>441</v>
      </c>
      <c r="L196" s="3"/>
      <c r="M196" s="22">
        <v>21.0</v>
      </c>
      <c r="N196" s="23">
        <f t="shared" si="52"/>
        <v>4</v>
      </c>
      <c r="O196" s="23">
        <f t="shared" si="53"/>
        <v>13</v>
      </c>
      <c r="P196" s="23">
        <f t="shared" si="54"/>
        <v>36</v>
      </c>
      <c r="Q196" s="3"/>
      <c r="R196" s="22">
        <v>21.0</v>
      </c>
      <c r="S196" s="23">
        <f t="shared" si="55"/>
        <v>18</v>
      </c>
      <c r="T196" s="23">
        <f t="shared" si="56"/>
        <v>28</v>
      </c>
      <c r="U196" s="23">
        <f t="shared" si="57"/>
        <v>81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>
      <c r="A197" s="22">
        <v>22.0</v>
      </c>
      <c r="B197" s="22">
        <f t="shared" si="46"/>
        <v>-46257.3337</v>
      </c>
      <c r="C197" s="23">
        <f t="shared" si="47"/>
        <v>46257.3337</v>
      </c>
      <c r="D197" s="23">
        <f t="shared" si="48"/>
        <v>27</v>
      </c>
      <c r="E197" s="3"/>
      <c r="F197" s="3"/>
      <c r="G197" s="3"/>
      <c r="H197" s="22">
        <v>22.0</v>
      </c>
      <c r="I197" s="23">
        <f t="shared" si="49"/>
        <v>63.5</v>
      </c>
      <c r="J197" s="23">
        <f t="shared" si="50"/>
        <v>29</v>
      </c>
      <c r="K197" s="23">
        <f t="shared" si="51"/>
        <v>4</v>
      </c>
      <c r="L197" s="3"/>
      <c r="M197" s="22">
        <v>22.0</v>
      </c>
      <c r="N197" s="23">
        <f t="shared" si="52"/>
        <v>10</v>
      </c>
      <c r="O197" s="23">
        <f t="shared" si="53"/>
        <v>30</v>
      </c>
      <c r="P197" s="23">
        <f t="shared" si="54"/>
        <v>9</v>
      </c>
      <c r="Q197" s="3"/>
      <c r="R197" s="22">
        <v>22.0</v>
      </c>
      <c r="S197" s="23">
        <f t="shared" si="55"/>
        <v>0</v>
      </c>
      <c r="T197" s="23">
        <f t="shared" si="56"/>
        <v>4.5</v>
      </c>
      <c r="U197" s="23">
        <f t="shared" si="57"/>
        <v>506.25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>
      <c r="A198" s="22">
        <v>23.0</v>
      </c>
      <c r="B198" s="22">
        <f t="shared" si="46"/>
        <v>-56008.16254</v>
      </c>
      <c r="C198" s="23">
        <f t="shared" si="47"/>
        <v>56008.16254</v>
      </c>
      <c r="D198" s="23">
        <f t="shared" si="48"/>
        <v>33</v>
      </c>
      <c r="E198" s="3"/>
      <c r="F198" s="3"/>
      <c r="G198" s="3"/>
      <c r="H198" s="22">
        <v>23.0</v>
      </c>
      <c r="I198" s="23">
        <f t="shared" si="49"/>
        <v>55.6</v>
      </c>
      <c r="J198" s="23">
        <f t="shared" si="50"/>
        <v>20.5</v>
      </c>
      <c r="K198" s="23">
        <f t="shared" si="51"/>
        <v>156.25</v>
      </c>
      <c r="L198" s="3"/>
      <c r="M198" s="22">
        <v>23.0</v>
      </c>
      <c r="N198" s="23">
        <f t="shared" si="52"/>
        <v>22</v>
      </c>
      <c r="O198" s="23">
        <f t="shared" si="53"/>
        <v>38</v>
      </c>
      <c r="P198" s="23">
        <f t="shared" si="54"/>
        <v>25</v>
      </c>
      <c r="Q198" s="3"/>
      <c r="R198" s="22">
        <v>23.0</v>
      </c>
      <c r="S198" s="23">
        <f t="shared" si="55"/>
        <v>4</v>
      </c>
      <c r="T198" s="23">
        <f t="shared" si="56"/>
        <v>18.5</v>
      </c>
      <c r="U198" s="23">
        <f t="shared" si="57"/>
        <v>210.25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>
      <c r="A199" s="22">
        <v>24.0</v>
      </c>
      <c r="B199" s="22">
        <f t="shared" si="46"/>
        <v>-33026.03881</v>
      </c>
      <c r="C199" s="23">
        <f t="shared" si="47"/>
        <v>33026.03881</v>
      </c>
      <c r="D199" s="23">
        <f t="shared" si="48"/>
        <v>20</v>
      </c>
      <c r="E199" s="3"/>
      <c r="F199" s="3"/>
      <c r="G199" s="3"/>
      <c r="H199" s="22">
        <v>24.0</v>
      </c>
      <c r="I199" s="23">
        <f t="shared" si="49"/>
        <v>61</v>
      </c>
      <c r="J199" s="23">
        <f t="shared" si="50"/>
        <v>28</v>
      </c>
      <c r="K199" s="23">
        <f t="shared" si="51"/>
        <v>64</v>
      </c>
      <c r="L199" s="3"/>
      <c r="M199" s="22">
        <v>24.0</v>
      </c>
      <c r="N199" s="23">
        <f t="shared" si="52"/>
        <v>7</v>
      </c>
      <c r="O199" s="23">
        <f t="shared" si="53"/>
        <v>23.5</v>
      </c>
      <c r="P199" s="23">
        <f t="shared" si="54"/>
        <v>12.25</v>
      </c>
      <c r="Q199" s="3"/>
      <c r="R199" s="22">
        <v>24.0</v>
      </c>
      <c r="S199" s="23">
        <f t="shared" si="55"/>
        <v>17</v>
      </c>
      <c r="T199" s="23">
        <f t="shared" si="56"/>
        <v>27</v>
      </c>
      <c r="U199" s="23">
        <f t="shared" si="57"/>
        <v>49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>
      <c r="A200" s="22">
        <v>25.0</v>
      </c>
      <c r="B200" s="22">
        <f t="shared" si="46"/>
        <v>15820.0083</v>
      </c>
      <c r="C200" s="23">
        <f t="shared" si="47"/>
        <v>15820.0083</v>
      </c>
      <c r="D200" s="23">
        <f t="shared" si="48"/>
        <v>12</v>
      </c>
      <c r="E200" s="3"/>
      <c r="F200" s="3"/>
      <c r="G200" s="3"/>
      <c r="H200" s="22">
        <v>25.0</v>
      </c>
      <c r="I200" s="23">
        <f t="shared" si="49"/>
        <v>35.2</v>
      </c>
      <c r="J200" s="23">
        <f t="shared" si="50"/>
        <v>8</v>
      </c>
      <c r="K200" s="23">
        <f t="shared" si="51"/>
        <v>16</v>
      </c>
      <c r="L200" s="3"/>
      <c r="M200" s="22">
        <v>25.0</v>
      </c>
      <c r="N200" s="23">
        <f t="shared" si="52"/>
        <v>1</v>
      </c>
      <c r="O200" s="23">
        <f t="shared" si="53"/>
        <v>1.5</v>
      </c>
      <c r="P200" s="23">
        <f t="shared" si="54"/>
        <v>110.25</v>
      </c>
      <c r="Q200" s="3"/>
      <c r="R200" s="22">
        <v>25.0</v>
      </c>
      <c r="S200" s="23">
        <f t="shared" si="55"/>
        <v>38</v>
      </c>
      <c r="T200" s="23">
        <f t="shared" si="56"/>
        <v>33</v>
      </c>
      <c r="U200" s="23">
        <f t="shared" si="57"/>
        <v>441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>
      <c r="A201" s="22">
        <v>26.0</v>
      </c>
      <c r="B201" s="22">
        <f t="shared" si="46"/>
        <v>-18806.0934</v>
      </c>
      <c r="C201" s="23">
        <f t="shared" si="47"/>
        <v>18806.0934</v>
      </c>
      <c r="D201" s="23">
        <f t="shared" si="48"/>
        <v>15</v>
      </c>
      <c r="E201" s="3"/>
      <c r="F201" s="3"/>
      <c r="G201" s="3"/>
      <c r="H201" s="22">
        <v>26.0</v>
      </c>
      <c r="I201" s="23">
        <f t="shared" si="49"/>
        <v>34.9</v>
      </c>
      <c r="J201" s="23">
        <f t="shared" si="50"/>
        <v>7</v>
      </c>
      <c r="K201" s="23">
        <f t="shared" si="51"/>
        <v>64</v>
      </c>
      <c r="L201" s="3"/>
      <c r="M201" s="22">
        <v>26.0</v>
      </c>
      <c r="N201" s="23">
        <f t="shared" si="52"/>
        <v>8</v>
      </c>
      <c r="O201" s="23">
        <f t="shared" si="53"/>
        <v>26.5</v>
      </c>
      <c r="P201" s="23">
        <f t="shared" si="54"/>
        <v>132.25</v>
      </c>
      <c r="Q201" s="3"/>
      <c r="R201" s="22">
        <v>26.0</v>
      </c>
      <c r="S201" s="23">
        <f t="shared" si="55"/>
        <v>49</v>
      </c>
      <c r="T201" s="23">
        <f t="shared" si="56"/>
        <v>36</v>
      </c>
      <c r="U201" s="23">
        <f t="shared" si="57"/>
        <v>441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>
      <c r="A202" s="22">
        <v>27.0</v>
      </c>
      <c r="B202" s="22">
        <f t="shared" si="46"/>
        <v>16747.25631</v>
      </c>
      <c r="C202" s="23">
        <f t="shared" si="47"/>
        <v>16747.25631</v>
      </c>
      <c r="D202" s="23">
        <f t="shared" si="48"/>
        <v>13</v>
      </c>
      <c r="E202" s="3"/>
      <c r="F202" s="3"/>
      <c r="G202" s="3"/>
      <c r="H202" s="22">
        <v>27.0</v>
      </c>
      <c r="I202" s="23">
        <f t="shared" si="49"/>
        <v>32</v>
      </c>
      <c r="J202" s="23">
        <f t="shared" si="50"/>
        <v>3</v>
      </c>
      <c r="K202" s="23">
        <f t="shared" si="51"/>
        <v>100</v>
      </c>
      <c r="L202" s="3"/>
      <c r="M202" s="22">
        <v>27.0</v>
      </c>
      <c r="N202" s="23">
        <f t="shared" si="52"/>
        <v>2</v>
      </c>
      <c r="O202" s="23">
        <f t="shared" si="53"/>
        <v>7</v>
      </c>
      <c r="P202" s="23">
        <f t="shared" si="54"/>
        <v>36</v>
      </c>
      <c r="Q202" s="3"/>
      <c r="R202" s="22">
        <v>27.0</v>
      </c>
      <c r="S202" s="23">
        <f t="shared" si="55"/>
        <v>64</v>
      </c>
      <c r="T202" s="23">
        <f t="shared" si="56"/>
        <v>40.5</v>
      </c>
      <c r="U202" s="23">
        <f t="shared" si="57"/>
        <v>756.25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>
      <c r="A203" s="22">
        <v>28.0</v>
      </c>
      <c r="B203" s="22">
        <f t="shared" si="46"/>
        <v>-40164.8879</v>
      </c>
      <c r="C203" s="23">
        <f t="shared" si="47"/>
        <v>40164.8879</v>
      </c>
      <c r="D203" s="23">
        <f t="shared" si="48"/>
        <v>23</v>
      </c>
      <c r="E203" s="3"/>
      <c r="F203" s="3"/>
      <c r="G203" s="3"/>
      <c r="H203" s="22">
        <v>28.0</v>
      </c>
      <c r="I203" s="23">
        <f t="shared" si="49"/>
        <v>34.6</v>
      </c>
      <c r="J203" s="23">
        <f t="shared" si="50"/>
        <v>6</v>
      </c>
      <c r="K203" s="23">
        <f t="shared" si="51"/>
        <v>289</v>
      </c>
      <c r="L203" s="3"/>
      <c r="M203" s="22">
        <v>28.0</v>
      </c>
      <c r="N203" s="23">
        <f t="shared" si="52"/>
        <v>9</v>
      </c>
      <c r="O203" s="23">
        <f t="shared" si="53"/>
        <v>28</v>
      </c>
      <c r="P203" s="23">
        <f t="shared" si="54"/>
        <v>25</v>
      </c>
      <c r="Q203" s="3"/>
      <c r="R203" s="22">
        <v>28.0</v>
      </c>
      <c r="S203" s="23">
        <f t="shared" si="55"/>
        <v>2</v>
      </c>
      <c r="T203" s="23">
        <f t="shared" si="56"/>
        <v>12.5</v>
      </c>
      <c r="U203" s="23">
        <f t="shared" si="57"/>
        <v>110.25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>
      <c r="A204" s="22">
        <v>29.0</v>
      </c>
      <c r="B204" s="22">
        <f t="shared" si="46"/>
        <v>-61258.10175</v>
      </c>
      <c r="C204" s="23">
        <f t="shared" si="47"/>
        <v>61258.10175</v>
      </c>
      <c r="D204" s="23">
        <f t="shared" si="48"/>
        <v>35</v>
      </c>
      <c r="E204" s="3"/>
      <c r="F204" s="3"/>
      <c r="G204" s="3"/>
      <c r="H204" s="22">
        <v>29.0</v>
      </c>
      <c r="I204" s="23">
        <f t="shared" si="49"/>
        <v>44.9</v>
      </c>
      <c r="J204" s="23">
        <f t="shared" si="50"/>
        <v>14</v>
      </c>
      <c r="K204" s="23">
        <f t="shared" si="51"/>
        <v>441</v>
      </c>
      <c r="L204" s="3"/>
      <c r="M204" s="22">
        <v>29.0</v>
      </c>
      <c r="N204" s="23">
        <f t="shared" si="52"/>
        <v>11</v>
      </c>
      <c r="O204" s="23">
        <f t="shared" si="53"/>
        <v>32</v>
      </c>
      <c r="P204" s="23">
        <f t="shared" si="54"/>
        <v>9</v>
      </c>
      <c r="Q204" s="3"/>
      <c r="R204" s="22">
        <v>29.0</v>
      </c>
      <c r="S204" s="23">
        <f t="shared" si="55"/>
        <v>15</v>
      </c>
      <c r="T204" s="23">
        <f t="shared" si="56"/>
        <v>26</v>
      </c>
      <c r="U204" s="23">
        <f t="shared" si="57"/>
        <v>81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>
      <c r="A205" s="22">
        <v>30.0</v>
      </c>
      <c r="B205" s="22">
        <f t="shared" si="46"/>
        <v>-51015.78369</v>
      </c>
      <c r="C205" s="23">
        <f t="shared" si="47"/>
        <v>51015.78369</v>
      </c>
      <c r="D205" s="23">
        <f t="shared" si="48"/>
        <v>29</v>
      </c>
      <c r="E205" s="3"/>
      <c r="F205" s="3"/>
      <c r="G205" s="3"/>
      <c r="H205" s="22">
        <v>30.0</v>
      </c>
      <c r="I205" s="23">
        <f t="shared" si="49"/>
        <v>90.3</v>
      </c>
      <c r="J205" s="23">
        <f t="shared" si="50"/>
        <v>35</v>
      </c>
      <c r="K205" s="23">
        <f t="shared" si="51"/>
        <v>36</v>
      </c>
      <c r="L205" s="3"/>
      <c r="M205" s="22">
        <v>30.0</v>
      </c>
      <c r="N205" s="23">
        <f t="shared" si="52"/>
        <v>16</v>
      </c>
      <c r="O205" s="23">
        <f t="shared" si="53"/>
        <v>35.5</v>
      </c>
      <c r="P205" s="23">
        <f t="shared" si="54"/>
        <v>42.25</v>
      </c>
      <c r="Q205" s="3"/>
      <c r="R205" s="22">
        <v>30.0</v>
      </c>
      <c r="S205" s="23">
        <f t="shared" si="55"/>
        <v>0</v>
      </c>
      <c r="T205" s="23">
        <f t="shared" si="56"/>
        <v>4.5</v>
      </c>
      <c r="U205" s="23">
        <f t="shared" si="57"/>
        <v>600.25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>
      <c r="A206" s="22">
        <v>31.0</v>
      </c>
      <c r="B206" s="22">
        <f t="shared" si="46"/>
        <v>-73812.51442</v>
      </c>
      <c r="C206" s="23">
        <f t="shared" si="47"/>
        <v>73812.51442</v>
      </c>
      <c r="D206" s="23">
        <f t="shared" si="48"/>
        <v>37</v>
      </c>
      <c r="E206" s="3"/>
      <c r="F206" s="3"/>
      <c r="G206" s="3"/>
      <c r="H206" s="22">
        <v>31.0</v>
      </c>
      <c r="I206" s="23">
        <f t="shared" si="49"/>
        <v>26.1</v>
      </c>
      <c r="J206" s="23">
        <f t="shared" si="50"/>
        <v>1</v>
      </c>
      <c r="K206" s="23">
        <f t="shared" si="51"/>
        <v>1296</v>
      </c>
      <c r="L206" s="3"/>
      <c r="M206" s="22">
        <v>31.0</v>
      </c>
      <c r="N206" s="23">
        <f t="shared" si="52"/>
        <v>24</v>
      </c>
      <c r="O206" s="23">
        <f t="shared" si="53"/>
        <v>39.5</v>
      </c>
      <c r="P206" s="23">
        <f t="shared" si="54"/>
        <v>6.25</v>
      </c>
      <c r="Q206" s="3"/>
      <c r="R206" s="22">
        <v>31.0</v>
      </c>
      <c r="S206" s="23">
        <f t="shared" si="55"/>
        <v>3</v>
      </c>
      <c r="T206" s="23">
        <f t="shared" si="56"/>
        <v>16</v>
      </c>
      <c r="U206" s="23">
        <f t="shared" si="57"/>
        <v>441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>
      <c r="A207" s="22">
        <v>32.0</v>
      </c>
      <c r="B207" s="22">
        <f t="shared" si="46"/>
        <v>-53370.08014</v>
      </c>
      <c r="C207" s="23">
        <f t="shared" si="47"/>
        <v>53370.08014</v>
      </c>
      <c r="D207" s="23">
        <f t="shared" si="48"/>
        <v>30</v>
      </c>
      <c r="E207" s="3"/>
      <c r="F207" s="3"/>
      <c r="G207" s="3"/>
      <c r="H207" s="22">
        <v>32.0</v>
      </c>
      <c r="I207" s="23">
        <f t="shared" si="49"/>
        <v>39.5</v>
      </c>
      <c r="J207" s="23">
        <f t="shared" si="50"/>
        <v>11</v>
      </c>
      <c r="K207" s="23">
        <f t="shared" si="51"/>
        <v>361</v>
      </c>
      <c r="L207" s="3"/>
      <c r="M207" s="22">
        <v>32.0</v>
      </c>
      <c r="N207" s="23">
        <f t="shared" si="52"/>
        <v>18</v>
      </c>
      <c r="O207" s="23">
        <f t="shared" si="53"/>
        <v>37</v>
      </c>
      <c r="P207" s="23">
        <f t="shared" si="54"/>
        <v>49</v>
      </c>
      <c r="Q207" s="3"/>
      <c r="R207" s="22">
        <v>32.0</v>
      </c>
      <c r="S207" s="23">
        <f t="shared" si="55"/>
        <v>4</v>
      </c>
      <c r="T207" s="23">
        <f t="shared" si="56"/>
        <v>18.5</v>
      </c>
      <c r="U207" s="23">
        <f t="shared" si="57"/>
        <v>132.25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>
      <c r="A208" s="22">
        <v>33.0</v>
      </c>
      <c r="B208" s="22">
        <f t="shared" si="46"/>
        <v>-40279.89772</v>
      </c>
      <c r="C208" s="23">
        <f t="shared" si="47"/>
        <v>40279.89772</v>
      </c>
      <c r="D208" s="23">
        <f t="shared" si="48"/>
        <v>24</v>
      </c>
      <c r="E208" s="3"/>
      <c r="F208" s="3"/>
      <c r="G208" s="3"/>
      <c r="H208" s="22">
        <v>33.0</v>
      </c>
      <c r="I208" s="23">
        <f t="shared" si="49"/>
        <v>68.4</v>
      </c>
      <c r="J208" s="23">
        <f t="shared" si="50"/>
        <v>31</v>
      </c>
      <c r="K208" s="23">
        <f t="shared" si="51"/>
        <v>49</v>
      </c>
      <c r="L208" s="3"/>
      <c r="M208" s="22">
        <v>33.0</v>
      </c>
      <c r="N208" s="23">
        <f t="shared" si="52"/>
        <v>7</v>
      </c>
      <c r="O208" s="23">
        <f t="shared" si="53"/>
        <v>23.5</v>
      </c>
      <c r="P208" s="23">
        <f t="shared" si="54"/>
        <v>0.25</v>
      </c>
      <c r="Q208" s="3"/>
      <c r="R208" s="22">
        <v>33.0</v>
      </c>
      <c r="S208" s="23">
        <f t="shared" si="55"/>
        <v>8</v>
      </c>
      <c r="T208" s="23">
        <f t="shared" si="56"/>
        <v>21.5</v>
      </c>
      <c r="U208" s="23">
        <f t="shared" si="57"/>
        <v>6.25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>
      <c r="A209" s="22">
        <v>34.0</v>
      </c>
      <c r="B209" s="22">
        <f t="shared" si="46"/>
        <v>11792.3707</v>
      </c>
      <c r="C209" s="23">
        <f t="shared" si="47"/>
        <v>11792.3707</v>
      </c>
      <c r="D209" s="23">
        <f t="shared" si="48"/>
        <v>10</v>
      </c>
      <c r="E209" s="3"/>
      <c r="F209" s="3"/>
      <c r="G209" s="3"/>
      <c r="H209" s="22">
        <v>34.0</v>
      </c>
      <c r="I209" s="23">
        <f t="shared" si="49"/>
        <v>49.9</v>
      </c>
      <c r="J209" s="23">
        <f t="shared" si="50"/>
        <v>19</v>
      </c>
      <c r="K209" s="23">
        <f t="shared" si="51"/>
        <v>81</v>
      </c>
      <c r="L209" s="3"/>
      <c r="M209" s="22">
        <v>34.0</v>
      </c>
      <c r="N209" s="23">
        <f t="shared" si="52"/>
        <v>5</v>
      </c>
      <c r="O209" s="23">
        <f t="shared" si="53"/>
        <v>17.5</v>
      </c>
      <c r="P209" s="23">
        <f t="shared" si="54"/>
        <v>56.25</v>
      </c>
      <c r="Q209" s="3"/>
      <c r="R209" s="22">
        <v>34.0</v>
      </c>
      <c r="S209" s="23">
        <f t="shared" si="55"/>
        <v>56</v>
      </c>
      <c r="T209" s="23">
        <f t="shared" si="56"/>
        <v>38</v>
      </c>
      <c r="U209" s="23">
        <f t="shared" si="57"/>
        <v>784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>
      <c r="A210" s="22">
        <v>35.0</v>
      </c>
      <c r="B210" s="22">
        <f t="shared" si="46"/>
        <v>-7395.63745</v>
      </c>
      <c r="C210" s="23">
        <f t="shared" si="47"/>
        <v>7395.63745</v>
      </c>
      <c r="D210" s="23">
        <f t="shared" si="48"/>
        <v>8</v>
      </c>
      <c r="E210" s="3"/>
      <c r="F210" s="3"/>
      <c r="G210" s="3"/>
      <c r="H210" s="22">
        <v>35.0</v>
      </c>
      <c r="I210" s="23">
        <f t="shared" si="49"/>
        <v>57.1</v>
      </c>
      <c r="J210" s="23">
        <f t="shared" si="50"/>
        <v>23</v>
      </c>
      <c r="K210" s="23">
        <f t="shared" si="51"/>
        <v>225</v>
      </c>
      <c r="L210" s="3"/>
      <c r="M210" s="22">
        <v>35.0</v>
      </c>
      <c r="N210" s="23">
        <f t="shared" si="52"/>
        <v>2</v>
      </c>
      <c r="O210" s="23">
        <f t="shared" si="53"/>
        <v>7</v>
      </c>
      <c r="P210" s="23">
        <f t="shared" si="54"/>
        <v>1</v>
      </c>
      <c r="Q210" s="3"/>
      <c r="R210" s="22">
        <v>35.0</v>
      </c>
      <c r="S210" s="23">
        <f t="shared" si="55"/>
        <v>1</v>
      </c>
      <c r="T210" s="23">
        <f t="shared" si="56"/>
        <v>9.5</v>
      </c>
      <c r="U210" s="23">
        <f t="shared" si="57"/>
        <v>2.25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>
      <c r="A211" s="22">
        <v>36.0</v>
      </c>
      <c r="B211" s="22">
        <f t="shared" si="46"/>
        <v>-88728.64942</v>
      </c>
      <c r="C211" s="23">
        <f t="shared" si="47"/>
        <v>88728.64942</v>
      </c>
      <c r="D211" s="23">
        <f t="shared" si="48"/>
        <v>39</v>
      </c>
      <c r="E211" s="3"/>
      <c r="F211" s="3"/>
      <c r="G211" s="3"/>
      <c r="H211" s="22">
        <v>36.0</v>
      </c>
      <c r="I211" s="23">
        <f t="shared" si="49"/>
        <v>37.5</v>
      </c>
      <c r="J211" s="23">
        <f t="shared" si="50"/>
        <v>10</v>
      </c>
      <c r="K211" s="23">
        <f t="shared" si="51"/>
        <v>841</v>
      </c>
      <c r="L211" s="3"/>
      <c r="M211" s="22">
        <v>36.0</v>
      </c>
      <c r="N211" s="23">
        <f t="shared" si="52"/>
        <v>24</v>
      </c>
      <c r="O211" s="23">
        <f t="shared" si="53"/>
        <v>39.5</v>
      </c>
      <c r="P211" s="23">
        <f t="shared" si="54"/>
        <v>0.25</v>
      </c>
      <c r="Q211" s="3"/>
      <c r="R211" s="22">
        <v>36.0</v>
      </c>
      <c r="S211" s="23">
        <f t="shared" si="55"/>
        <v>0</v>
      </c>
      <c r="T211" s="23">
        <f t="shared" si="56"/>
        <v>4.5</v>
      </c>
      <c r="U211" s="23">
        <f t="shared" si="57"/>
        <v>1190.25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>
      <c r="A212" s="22">
        <v>37.0</v>
      </c>
      <c r="B212" s="22">
        <f t="shared" si="46"/>
        <v>-35923.83575</v>
      </c>
      <c r="C212" s="23">
        <f t="shared" si="47"/>
        <v>35923.83575</v>
      </c>
      <c r="D212" s="23">
        <f t="shared" si="48"/>
        <v>21</v>
      </c>
      <c r="E212" s="3"/>
      <c r="F212" s="3"/>
      <c r="G212" s="3"/>
      <c r="H212" s="22">
        <v>37.0</v>
      </c>
      <c r="I212" s="23">
        <f t="shared" si="49"/>
        <v>60</v>
      </c>
      <c r="J212" s="23">
        <f t="shared" si="50"/>
        <v>27</v>
      </c>
      <c r="K212" s="23">
        <f t="shared" si="51"/>
        <v>36</v>
      </c>
      <c r="L212" s="3"/>
      <c r="M212" s="22">
        <v>37.0</v>
      </c>
      <c r="N212" s="23">
        <f t="shared" si="52"/>
        <v>2</v>
      </c>
      <c r="O212" s="23">
        <f t="shared" si="53"/>
        <v>7</v>
      </c>
      <c r="P212" s="23">
        <f t="shared" si="54"/>
        <v>196</v>
      </c>
      <c r="Q212" s="3"/>
      <c r="R212" s="22">
        <v>37.0</v>
      </c>
      <c r="S212" s="23">
        <f t="shared" si="55"/>
        <v>0</v>
      </c>
      <c r="T212" s="23">
        <f t="shared" si="56"/>
        <v>4.5</v>
      </c>
      <c r="U212" s="23">
        <f t="shared" si="57"/>
        <v>272.25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>
      <c r="A213" s="22">
        <v>38.0</v>
      </c>
      <c r="B213" s="22">
        <f t="shared" si="46"/>
        <v>16951.83961</v>
      </c>
      <c r="C213" s="23">
        <f t="shared" si="47"/>
        <v>16951.83961</v>
      </c>
      <c r="D213" s="23">
        <f t="shared" si="48"/>
        <v>14</v>
      </c>
      <c r="E213" s="3"/>
      <c r="F213" s="3"/>
      <c r="G213" s="3"/>
      <c r="H213" s="22">
        <v>38.0</v>
      </c>
      <c r="I213" s="23">
        <f t="shared" si="49"/>
        <v>30.3</v>
      </c>
      <c r="J213" s="23">
        <f t="shared" si="50"/>
        <v>2</v>
      </c>
      <c r="K213" s="23">
        <f t="shared" si="51"/>
        <v>144</v>
      </c>
      <c r="L213" s="3"/>
      <c r="M213" s="22">
        <v>38.0</v>
      </c>
      <c r="N213" s="23">
        <f t="shared" si="52"/>
        <v>1</v>
      </c>
      <c r="O213" s="23">
        <f t="shared" si="53"/>
        <v>1.5</v>
      </c>
      <c r="P213" s="23">
        <f t="shared" si="54"/>
        <v>156.25</v>
      </c>
      <c r="Q213" s="3"/>
      <c r="R213" s="22">
        <v>38.0</v>
      </c>
      <c r="S213" s="23">
        <f t="shared" si="55"/>
        <v>64</v>
      </c>
      <c r="T213" s="23">
        <f t="shared" si="56"/>
        <v>40.5</v>
      </c>
      <c r="U213" s="23">
        <f t="shared" si="57"/>
        <v>702.25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>
      <c r="A214" s="22">
        <v>39.0</v>
      </c>
      <c r="B214" s="22">
        <f t="shared" si="46"/>
        <v>-5055.696086</v>
      </c>
      <c r="C214" s="23">
        <f t="shared" si="47"/>
        <v>5055.696086</v>
      </c>
      <c r="D214" s="23">
        <f t="shared" si="48"/>
        <v>6</v>
      </c>
      <c r="E214" s="3"/>
      <c r="F214" s="3"/>
      <c r="G214" s="3"/>
      <c r="H214" s="22">
        <v>39.0</v>
      </c>
      <c r="I214" s="23">
        <f t="shared" si="49"/>
        <v>33.3</v>
      </c>
      <c r="J214" s="23">
        <f t="shared" si="50"/>
        <v>5</v>
      </c>
      <c r="K214" s="23">
        <f t="shared" si="51"/>
        <v>1</v>
      </c>
      <c r="L214" s="3"/>
      <c r="M214" s="22">
        <v>39.0</v>
      </c>
      <c r="N214" s="23">
        <f t="shared" si="52"/>
        <v>5</v>
      </c>
      <c r="O214" s="23">
        <f t="shared" si="53"/>
        <v>17.5</v>
      </c>
      <c r="P214" s="23">
        <f t="shared" si="54"/>
        <v>132.25</v>
      </c>
      <c r="Q214" s="3"/>
      <c r="R214" s="22">
        <v>39.0</v>
      </c>
      <c r="S214" s="23">
        <f t="shared" si="55"/>
        <v>51</v>
      </c>
      <c r="T214" s="23">
        <f t="shared" si="56"/>
        <v>37</v>
      </c>
      <c r="U214" s="23">
        <f t="shared" si="57"/>
        <v>961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>
      <c r="A215" s="22">
        <v>40.0</v>
      </c>
      <c r="B215" s="22">
        <f t="shared" si="46"/>
        <v>-53950.26263</v>
      </c>
      <c r="C215" s="23">
        <f t="shared" si="47"/>
        <v>53950.26263</v>
      </c>
      <c r="D215" s="23">
        <f t="shared" si="48"/>
        <v>31</v>
      </c>
      <c r="E215" s="3"/>
      <c r="F215" s="3"/>
      <c r="G215" s="3"/>
      <c r="H215" s="22">
        <v>40.0</v>
      </c>
      <c r="I215" s="23">
        <f t="shared" si="49"/>
        <v>58.9</v>
      </c>
      <c r="J215" s="23">
        <f t="shared" si="50"/>
        <v>26</v>
      </c>
      <c r="K215" s="23">
        <f t="shared" si="51"/>
        <v>25</v>
      </c>
      <c r="L215" s="3"/>
      <c r="M215" s="22">
        <v>40.0</v>
      </c>
      <c r="N215" s="23">
        <f t="shared" si="52"/>
        <v>10</v>
      </c>
      <c r="O215" s="23">
        <f t="shared" si="53"/>
        <v>30</v>
      </c>
      <c r="P215" s="23">
        <f t="shared" si="54"/>
        <v>1</v>
      </c>
      <c r="Q215" s="3"/>
      <c r="R215" s="22">
        <v>40.0</v>
      </c>
      <c r="S215" s="23">
        <f t="shared" si="55"/>
        <v>3</v>
      </c>
      <c r="T215" s="23">
        <f t="shared" si="56"/>
        <v>16</v>
      </c>
      <c r="U215" s="23">
        <f t="shared" si="57"/>
        <v>225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>
      <c r="A216" s="22">
        <v>41.0</v>
      </c>
      <c r="B216" s="22">
        <f t="shared" si="46"/>
        <v>92.87884811</v>
      </c>
      <c r="C216" s="23">
        <f t="shared" si="47"/>
        <v>92.87884811</v>
      </c>
      <c r="D216" s="23">
        <f t="shared" si="48"/>
        <v>1</v>
      </c>
      <c r="E216" s="3"/>
      <c r="F216" s="3"/>
      <c r="G216" s="3"/>
      <c r="H216" s="22">
        <v>41.0</v>
      </c>
      <c r="I216" s="23">
        <f t="shared" si="49"/>
        <v>49.8</v>
      </c>
      <c r="J216" s="23">
        <f t="shared" si="50"/>
        <v>18</v>
      </c>
      <c r="K216" s="23">
        <f t="shared" si="51"/>
        <v>289</v>
      </c>
      <c r="L216" s="3"/>
      <c r="M216" s="22">
        <v>41.0</v>
      </c>
      <c r="N216" s="23">
        <f t="shared" si="52"/>
        <v>2</v>
      </c>
      <c r="O216" s="23">
        <f t="shared" si="53"/>
        <v>7</v>
      </c>
      <c r="P216" s="23">
        <f t="shared" si="54"/>
        <v>36</v>
      </c>
      <c r="Q216" s="3"/>
      <c r="R216" s="22">
        <v>41.0</v>
      </c>
      <c r="S216" s="23">
        <f t="shared" si="55"/>
        <v>35</v>
      </c>
      <c r="T216" s="23">
        <f t="shared" si="56"/>
        <v>32</v>
      </c>
      <c r="U216" s="23">
        <f t="shared" si="57"/>
        <v>961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5" t="s">
        <v>69</v>
      </c>
      <c r="K217" s="3">
        <f>SUM(K176:K216)</f>
        <v>9583.5</v>
      </c>
      <c r="L217" s="3"/>
      <c r="M217" s="3"/>
      <c r="N217" s="3"/>
      <c r="O217" s="5" t="s">
        <v>69</v>
      </c>
      <c r="P217" s="3">
        <f>SUM(P176:P216)</f>
        <v>4563.5</v>
      </c>
      <c r="Q217" s="3"/>
      <c r="R217" s="3"/>
      <c r="S217" s="3"/>
      <c r="T217" s="5" t="s">
        <v>69</v>
      </c>
      <c r="U217" s="3">
        <f>SUM(U176:U216)</f>
        <v>17822.5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5" t="s">
        <v>70</v>
      </c>
      <c r="K218" s="3">
        <f>1-6*(K217/(41*(41^2-1)))</f>
        <v>0.1652003484</v>
      </c>
      <c r="L218" s="3"/>
      <c r="M218" s="3"/>
      <c r="N218" s="3"/>
      <c r="O218" s="5" t="s">
        <v>70</v>
      </c>
      <c r="P218" s="3">
        <f>1-6*(P217/(41*(41^2-1)))</f>
        <v>0.6024825784</v>
      </c>
      <c r="Q218" s="3"/>
      <c r="R218" s="3"/>
      <c r="S218" s="3"/>
      <c r="T218" s="5" t="s">
        <v>70</v>
      </c>
      <c r="U218" s="3">
        <f>1-6*(U217/(41*(41^2-1)))</f>
        <v>-0.5524825784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5" t="s">
        <v>71</v>
      </c>
      <c r="K219" s="3">
        <f>K218*SQRT(41 - 2) / SQRT(1 - K218^2)</f>
        <v>1.046048522</v>
      </c>
      <c r="L219" s="3"/>
      <c r="M219" s="3"/>
      <c r="N219" s="3"/>
      <c r="O219" s="5" t="s">
        <v>71</v>
      </c>
      <c r="P219" s="3">
        <f>P218*SQRT(41 - 2) / SQRT(1 - P218^2)</f>
        <v>4.71413543</v>
      </c>
      <c r="Q219" s="3"/>
      <c r="R219" s="3"/>
      <c r="S219" s="3"/>
      <c r="T219" s="5" t="s">
        <v>71</v>
      </c>
      <c r="U219" s="3">
        <f>U218*SQRT(41 - 2) / SQRT(1 - U218^2)</f>
        <v>-4.13935382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>
      <c r="A221" s="3"/>
      <c r="B221" s="3"/>
      <c r="C221" s="3"/>
      <c r="D221" s="3"/>
      <c r="E221" s="3"/>
      <c r="F221" s="3"/>
      <c r="G221" s="3"/>
      <c r="H221" s="3"/>
      <c r="I221" s="5" t="s">
        <v>72</v>
      </c>
      <c r="J221" s="3">
        <f>_xlfn.T.INV.2T(0.05, 37)</f>
        <v>2.026192463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>
      <c r="A223" s="3"/>
      <c r="B223" s="3"/>
      <c r="C223" s="3"/>
      <c r="D223" s="3"/>
      <c r="E223" s="3"/>
      <c r="F223" s="3"/>
      <c r="G223" s="3"/>
      <c r="H223" s="3"/>
      <c r="I223" s="5" t="s">
        <v>126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>
      <c r="A228" s="5" t="s">
        <v>74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>
      <c r="A229" s="5" t="s">
        <v>127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>
      <c r="A230" s="23" t="s">
        <v>32</v>
      </c>
      <c r="B230" s="23" t="s">
        <v>1</v>
      </c>
      <c r="C230" s="23" t="s">
        <v>2</v>
      </c>
      <c r="D230" s="23" t="s">
        <v>3</v>
      </c>
      <c r="E230" s="23" t="s">
        <v>4</v>
      </c>
      <c r="F230" s="19" t="s">
        <v>62</v>
      </c>
      <c r="G230" s="19" t="s">
        <v>63</v>
      </c>
      <c r="H230" s="19" t="s">
        <v>124</v>
      </c>
      <c r="I230" s="3"/>
      <c r="J230" s="5" t="s">
        <v>128</v>
      </c>
      <c r="K230" s="3">
        <f>COUNT(A231:A271)/3</f>
        <v>13.66666667</v>
      </c>
      <c r="L230" s="3"/>
      <c r="M230" s="3"/>
      <c r="N230" s="3"/>
      <c r="O230" s="3"/>
      <c r="P230" s="3"/>
      <c r="Q230" s="3"/>
      <c r="R230" s="5"/>
      <c r="S230" s="5"/>
      <c r="T230" s="5"/>
      <c r="W230" s="3"/>
      <c r="X230" s="3"/>
      <c r="Y230" s="3"/>
      <c r="Z230" s="3"/>
      <c r="AA230" s="3"/>
      <c r="AB230" s="3"/>
      <c r="AC230" s="5"/>
      <c r="AD230" s="5"/>
      <c r="AE230" s="5"/>
    </row>
    <row r="231">
      <c r="A231" s="51">
        <v>31.0</v>
      </c>
      <c r="B231" s="51">
        <v>26.1</v>
      </c>
      <c r="C231" s="51">
        <v>24.0</v>
      </c>
      <c r="D231" s="51">
        <f t="shared" ref="D231:D271" si="58">2025 - S2</f>
        <v>0</v>
      </c>
      <c r="E231" s="51">
        <v>87000.0</v>
      </c>
      <c r="F231" s="51">
        <v>-73812.51442460695</v>
      </c>
      <c r="G231" s="51">
        <v>5.44828728568281E9</v>
      </c>
      <c r="H231" s="51">
        <v>160812.51442460695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W231" s="3"/>
      <c r="X231" s="3"/>
      <c r="Y231" s="3"/>
      <c r="Z231" s="3"/>
      <c r="AA231" s="3"/>
      <c r="AB231" s="3"/>
      <c r="AC231" s="3"/>
      <c r="AD231" s="3"/>
      <c r="AE231" s="3"/>
      <c r="AG231" s="3"/>
    </row>
    <row r="232">
      <c r="A232" s="51">
        <v>38.0</v>
      </c>
      <c r="B232" s="51">
        <v>30.3</v>
      </c>
      <c r="C232" s="51">
        <v>1.0</v>
      </c>
      <c r="D232" s="51">
        <f t="shared" si="58"/>
        <v>10</v>
      </c>
      <c r="E232" s="51">
        <v>58000.0</v>
      </c>
      <c r="F232" s="51">
        <v>16951.839611789663</v>
      </c>
      <c r="G232" s="51">
        <v>2.8736486622384113E8</v>
      </c>
      <c r="H232" s="51">
        <v>41048.16038821034</v>
      </c>
      <c r="I232" s="3"/>
      <c r="J232" s="5" t="s">
        <v>76</v>
      </c>
      <c r="K232" s="3">
        <f>SUM(H231:H244)</f>
        <v>1550473.428</v>
      </c>
      <c r="L232" s="3"/>
      <c r="M232" s="3"/>
      <c r="N232" s="3"/>
      <c r="O232" s="3"/>
      <c r="P232" s="3"/>
      <c r="Q232" s="3"/>
      <c r="R232" s="3"/>
      <c r="S232" s="3"/>
      <c r="T232" s="3"/>
      <c r="W232" s="3"/>
      <c r="X232" s="3"/>
      <c r="Y232" s="3"/>
      <c r="Z232" s="3"/>
      <c r="AA232" s="3"/>
      <c r="AB232" s="3"/>
      <c r="AC232" s="3"/>
      <c r="AD232" s="3"/>
      <c r="AE232" s="3"/>
      <c r="AG232" s="3"/>
    </row>
    <row r="233">
      <c r="A233" s="51">
        <v>27.0</v>
      </c>
      <c r="B233" s="51">
        <v>32.0</v>
      </c>
      <c r="C233" s="51">
        <v>2.0</v>
      </c>
      <c r="D233" s="51">
        <f t="shared" si="58"/>
        <v>13</v>
      </c>
      <c r="E233" s="51">
        <v>63700.0</v>
      </c>
      <c r="F233" s="51">
        <v>16747.25630889107</v>
      </c>
      <c r="G233" s="51">
        <v>2.804705938756917E8</v>
      </c>
      <c r="H233" s="51">
        <v>46952.74369110893</v>
      </c>
      <c r="I233" s="3"/>
      <c r="J233" s="5" t="s">
        <v>77</v>
      </c>
      <c r="K233" s="3">
        <f>SUM(H258:H271)</f>
        <v>3023804.137</v>
      </c>
      <c r="L233" s="3"/>
      <c r="M233" s="3"/>
      <c r="N233" s="3"/>
      <c r="O233" s="3"/>
      <c r="P233" s="3"/>
      <c r="Q233" s="3"/>
      <c r="R233" s="3"/>
      <c r="S233" s="3"/>
      <c r="T233" s="3"/>
      <c r="W233" s="3"/>
      <c r="X233" s="3"/>
      <c r="Y233" s="3"/>
      <c r="Z233" s="3"/>
      <c r="AA233" s="3"/>
      <c r="AB233" s="3"/>
      <c r="AC233" s="3"/>
      <c r="AD233" s="3"/>
      <c r="AE233" s="3"/>
      <c r="AG233" s="3"/>
    </row>
    <row r="234">
      <c r="A234" s="51">
        <v>13.0</v>
      </c>
      <c r="B234" s="51">
        <v>32.2</v>
      </c>
      <c r="C234" s="51">
        <v>5.0</v>
      </c>
      <c r="D234" s="51">
        <f t="shared" si="58"/>
        <v>63</v>
      </c>
      <c r="E234" s="51">
        <v>112900.0</v>
      </c>
      <c r="F234" s="51">
        <v>1794.6392374145216</v>
      </c>
      <c r="G234" s="51">
        <v>3220729.992467776</v>
      </c>
      <c r="H234" s="51">
        <v>111105.36076258548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W234" s="3"/>
      <c r="X234" s="3"/>
      <c r="Y234" s="3"/>
      <c r="Z234" s="3"/>
      <c r="AA234" s="3"/>
      <c r="AB234" s="3"/>
      <c r="AC234" s="3"/>
      <c r="AD234" s="3"/>
      <c r="AE234" s="3"/>
      <c r="AF234" s="5"/>
      <c r="AG234" s="3"/>
    </row>
    <row r="235">
      <c r="A235" s="51">
        <v>39.0</v>
      </c>
      <c r="B235" s="51">
        <v>33.3</v>
      </c>
      <c r="C235" s="51">
        <v>5.0</v>
      </c>
      <c r="D235" s="51">
        <f t="shared" si="58"/>
        <v>47</v>
      </c>
      <c r="E235" s="51">
        <v>64900.0</v>
      </c>
      <c r="F235" s="51">
        <v>-5055.696086195763</v>
      </c>
      <c r="G235" s="51">
        <v>2.5560062915975157E7</v>
      </c>
      <c r="H235" s="51">
        <v>69955.69608619576</v>
      </c>
      <c r="I235" s="3"/>
      <c r="J235" s="5" t="s">
        <v>78</v>
      </c>
      <c r="K235" s="3">
        <f>K233/K232</f>
        <v>1.9502457</v>
      </c>
      <c r="L235" s="3"/>
      <c r="M235" s="3"/>
      <c r="N235" s="3"/>
      <c r="O235" s="3"/>
      <c r="P235" s="3"/>
      <c r="Q235" s="3"/>
      <c r="R235" s="3"/>
      <c r="S235" s="3"/>
      <c r="T235" s="3"/>
      <c r="V235" s="5"/>
      <c r="W235" s="3"/>
      <c r="X235" s="3"/>
      <c r="Y235" s="3"/>
      <c r="Z235" s="3"/>
      <c r="AA235" s="3"/>
      <c r="AB235" s="3"/>
      <c r="AC235" s="3"/>
      <c r="AD235" s="3"/>
      <c r="AE235" s="3"/>
      <c r="AF235" s="5"/>
      <c r="AG235" s="3"/>
    </row>
    <row r="236">
      <c r="A236" s="51">
        <v>28.0</v>
      </c>
      <c r="B236" s="51">
        <v>34.6</v>
      </c>
      <c r="C236" s="51">
        <v>9.0</v>
      </c>
      <c r="D236" s="51">
        <f t="shared" si="58"/>
        <v>3</v>
      </c>
      <c r="E236" s="51">
        <v>87500.0</v>
      </c>
      <c r="F236" s="51">
        <v>-40164.88790423464</v>
      </c>
      <c r="G236" s="51">
        <v>1.6132182203597338E9</v>
      </c>
      <c r="H236" s="51">
        <v>127664.88790423464</v>
      </c>
      <c r="I236" s="3"/>
      <c r="J236" s="5" t="s">
        <v>79</v>
      </c>
      <c r="K236" s="3">
        <f>_xlfn.F.INV.RT(0.05,3+1,41-3-1)</f>
        <v>2.626052285</v>
      </c>
      <c r="L236" s="3"/>
      <c r="M236" s="3"/>
      <c r="N236" s="3"/>
      <c r="O236" s="3"/>
      <c r="P236" s="3"/>
      <c r="Q236" s="3"/>
      <c r="R236" s="3"/>
      <c r="S236" s="3"/>
      <c r="T236" s="3"/>
      <c r="V236" s="5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51">
        <v>26.0</v>
      </c>
      <c r="B237" s="51">
        <v>34.9</v>
      </c>
      <c r="C237" s="51">
        <v>8.0</v>
      </c>
      <c r="D237" s="51">
        <f t="shared" si="58"/>
        <v>39</v>
      </c>
      <c r="E237" s="51">
        <v>65000.0</v>
      </c>
      <c r="F237" s="51">
        <v>-18806.09340449501</v>
      </c>
      <c r="G237" s="51">
        <v>3.5366914913859075E8</v>
      </c>
      <c r="H237" s="51">
        <v>83806.09340449501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51">
        <v>25.0</v>
      </c>
      <c r="B238" s="51">
        <v>35.2</v>
      </c>
      <c r="C238" s="51">
        <v>1.0</v>
      </c>
      <c r="D238" s="51">
        <f t="shared" si="58"/>
        <v>0</v>
      </c>
      <c r="E238" s="51">
        <v>87500.0</v>
      </c>
      <c r="F238" s="51">
        <v>15820.00830393593</v>
      </c>
      <c r="G238" s="51">
        <v>2.502726627366018E8</v>
      </c>
      <c r="H238" s="51">
        <v>71679.99169606407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51">
        <v>16.0</v>
      </c>
      <c r="B239" s="51">
        <v>35.3</v>
      </c>
      <c r="C239" s="51">
        <v>2.0</v>
      </c>
      <c r="D239" s="51">
        <f t="shared" si="58"/>
        <v>5</v>
      </c>
      <c r="E239" s="51">
        <v>63000.0</v>
      </c>
      <c r="F239" s="51">
        <v>-26906.394087173307</v>
      </c>
      <c r="G239" s="51">
        <v>7.239540427742747E8</v>
      </c>
      <c r="H239" s="51">
        <v>89906.3940871733</v>
      </c>
      <c r="I239" s="3"/>
      <c r="J239" s="5" t="s">
        <v>129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51">
        <v>36.0</v>
      </c>
      <c r="B240" s="51">
        <v>37.5</v>
      </c>
      <c r="C240" s="51">
        <v>24.0</v>
      </c>
      <c r="D240" s="51">
        <f t="shared" si="58"/>
        <v>0</v>
      </c>
      <c r="E240" s="51">
        <v>93000.0</v>
      </c>
      <c r="F240" s="51">
        <v>-88728.64941732754</v>
      </c>
      <c r="G240" s="51">
        <v>7.872773227423019E9</v>
      </c>
      <c r="H240" s="51">
        <v>181728.64941732754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51">
        <v>32.0</v>
      </c>
      <c r="B241" s="51">
        <v>39.5</v>
      </c>
      <c r="C241" s="51">
        <v>18.0</v>
      </c>
      <c r="D241" s="51">
        <f t="shared" si="58"/>
        <v>0</v>
      </c>
      <c r="E241" s="51">
        <v>109000.0</v>
      </c>
      <c r="F241" s="51">
        <v>-53370.080136118864</v>
      </c>
      <c r="G241" s="51">
        <v>2.8483654537357492E9</v>
      </c>
      <c r="H241" s="51">
        <v>162370.08013611886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51">
        <v>8.0</v>
      </c>
      <c r="B242" s="51">
        <v>41.15</v>
      </c>
      <c r="C242" s="51">
        <v>10.0</v>
      </c>
      <c r="D242" s="51">
        <f t="shared" si="58"/>
        <v>14</v>
      </c>
      <c r="E242" s="51">
        <v>876415.0</v>
      </c>
      <c r="F242" s="51">
        <v>733313.1925914355</v>
      </c>
      <c r="G242" s="51">
        <v>5.377482384286438E11</v>
      </c>
      <c r="H242" s="51">
        <v>143101.80740856455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51">
        <v>9.0</v>
      </c>
      <c r="B243" s="51">
        <v>42.1</v>
      </c>
      <c r="C243" s="51">
        <v>4.0</v>
      </c>
      <c r="D243" s="51">
        <f t="shared" si="58"/>
        <v>2</v>
      </c>
      <c r="E243" s="51">
        <v>121000.0</v>
      </c>
      <c r="F243" s="51">
        <v>-182.94692349809338</v>
      </c>
      <c r="G243" s="51">
        <v>33469.57681741723</v>
      </c>
      <c r="H243" s="51">
        <v>121182.9469234981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51">
        <v>29.0</v>
      </c>
      <c r="B244" s="51">
        <v>44.9</v>
      </c>
      <c r="C244" s="51">
        <v>11.0</v>
      </c>
      <c r="D244" s="51">
        <f t="shared" si="58"/>
        <v>21</v>
      </c>
      <c r="E244" s="51">
        <v>77900.0</v>
      </c>
      <c r="F244" s="51">
        <v>-61258.10175473854</v>
      </c>
      <c r="G244" s="51">
        <v>3.752555030593901E9</v>
      </c>
      <c r="H244" s="51">
        <v>139158.10175473854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76">
        <v>4.0</v>
      </c>
      <c r="B245" s="76">
        <v>45.0</v>
      </c>
      <c r="C245" s="76">
        <v>4.0</v>
      </c>
      <c r="D245" s="76">
        <f t="shared" si="58"/>
        <v>19</v>
      </c>
      <c r="E245" s="76">
        <v>74000.0</v>
      </c>
      <c r="F245" s="76">
        <v>-1038.7451139529003</v>
      </c>
      <c r="G245" s="76">
        <v>1078991.4117610238</v>
      </c>
      <c r="H245" s="76">
        <v>75038.7451139529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76">
        <v>17.0</v>
      </c>
      <c r="B246" s="76">
        <v>45.8</v>
      </c>
      <c r="C246" s="76">
        <v>7.0</v>
      </c>
      <c r="D246" s="76">
        <f t="shared" si="58"/>
        <v>21</v>
      </c>
      <c r="E246" s="76">
        <v>84000.0</v>
      </c>
      <c r="F246" s="76">
        <v>-55278.12325780111</v>
      </c>
      <c r="G246" s="76">
        <v>3.055670910904652E9</v>
      </c>
      <c r="H246" s="76">
        <v>139278.1232578011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76">
        <v>7.0</v>
      </c>
      <c r="B247" s="76">
        <v>48.9</v>
      </c>
      <c r="C247" s="76">
        <v>2.0</v>
      </c>
      <c r="D247" s="76">
        <f t="shared" si="58"/>
        <v>2</v>
      </c>
      <c r="E247" s="76">
        <v>99900.0</v>
      </c>
      <c r="F247" s="76">
        <v>3939.9391110803263</v>
      </c>
      <c r="G247" s="76">
        <v>1.5523120199020432E7</v>
      </c>
      <c r="H247" s="76">
        <v>95960.06088891967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76">
        <v>41.0</v>
      </c>
      <c r="B248" s="76">
        <v>49.8</v>
      </c>
      <c r="C248" s="76">
        <v>2.0</v>
      </c>
      <c r="D248" s="76">
        <f t="shared" si="58"/>
        <v>8</v>
      </c>
      <c r="E248" s="76">
        <v>101000.0</v>
      </c>
      <c r="F248" s="76">
        <v>92.87884810817195</v>
      </c>
      <c r="G248" s="76">
        <v>8626.480425900876</v>
      </c>
      <c r="H248" s="76">
        <v>100907.12115189183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76">
        <v>34.0</v>
      </c>
      <c r="B249" s="76">
        <v>49.9</v>
      </c>
      <c r="C249" s="76">
        <v>5.0</v>
      </c>
      <c r="D249" s="76">
        <f t="shared" si="58"/>
        <v>1</v>
      </c>
      <c r="E249" s="76">
        <v>104000.0</v>
      </c>
      <c r="F249" s="76">
        <v>11792.370699387902</v>
      </c>
      <c r="G249" s="76">
        <v>1.3906000671178234E8</v>
      </c>
      <c r="H249" s="76">
        <v>92207.6293006121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76">
        <v>5.0</v>
      </c>
      <c r="B250" s="76">
        <v>55.6</v>
      </c>
      <c r="C250" s="76">
        <v>7.0</v>
      </c>
      <c r="D250" s="76">
        <f t="shared" si="58"/>
        <v>2</v>
      </c>
      <c r="E250" s="76">
        <v>108000.0</v>
      </c>
      <c r="F250" s="76">
        <v>-7588.8568774682935</v>
      </c>
      <c r="G250" s="76">
        <v>5.759074870669782E7</v>
      </c>
      <c r="H250" s="76">
        <v>115588.8568774683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76">
        <v>23.0</v>
      </c>
      <c r="B251" s="76">
        <v>55.6</v>
      </c>
      <c r="C251" s="76">
        <v>22.0</v>
      </c>
      <c r="D251" s="76">
        <f t="shared" si="58"/>
        <v>18</v>
      </c>
      <c r="E251" s="76">
        <v>144900.0</v>
      </c>
      <c r="F251" s="76">
        <v>-56008.162541006575</v>
      </c>
      <c r="G251" s="76">
        <v>3.136914271219812E9</v>
      </c>
      <c r="H251" s="76">
        <v>200908.16254100658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76">
        <v>11.0</v>
      </c>
      <c r="B252" s="76">
        <v>56.6</v>
      </c>
      <c r="C252" s="76">
        <v>2.0</v>
      </c>
      <c r="D252" s="76">
        <f t="shared" si="58"/>
        <v>0</v>
      </c>
      <c r="E252" s="76">
        <v>97900.0</v>
      </c>
      <c r="F252" s="76">
        <v>-44569.30378808227</v>
      </c>
      <c r="G252" s="76">
        <v>1.9864228401543643E9</v>
      </c>
      <c r="H252" s="76">
        <v>142469.30378808227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76">
        <v>35.0</v>
      </c>
      <c r="B253" s="76">
        <v>57.1</v>
      </c>
      <c r="C253" s="76">
        <v>2.0</v>
      </c>
      <c r="D253" s="76">
        <f t="shared" si="58"/>
        <v>4</v>
      </c>
      <c r="E253" s="76">
        <v>135000.0</v>
      </c>
      <c r="F253" s="76">
        <v>-7395.637449773349</v>
      </c>
      <c r="G253" s="76">
        <v>5.469545328849004E7</v>
      </c>
      <c r="H253" s="76">
        <v>142395.63744977335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76">
        <v>20.0</v>
      </c>
      <c r="B254" s="76">
        <v>58.2</v>
      </c>
      <c r="C254" s="76">
        <v>8.0</v>
      </c>
      <c r="D254" s="76">
        <f t="shared" si="58"/>
        <v>17</v>
      </c>
      <c r="E254" s="76">
        <v>104900.0</v>
      </c>
      <c r="F254" s="76">
        <v>-57448.43950352102</v>
      </c>
      <c r="G254" s="76">
        <v>3.3003232013897142E9</v>
      </c>
      <c r="H254" s="76">
        <v>162348.43950352102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76">
        <v>19.0</v>
      </c>
      <c r="B255" s="76">
        <v>58.3</v>
      </c>
      <c r="C255" s="76">
        <v>13.0</v>
      </c>
      <c r="D255" s="76">
        <f t="shared" si="58"/>
        <v>38</v>
      </c>
      <c r="E255" s="76">
        <v>129000.0</v>
      </c>
      <c r="F255" s="76">
        <v>-50271.25691255761</v>
      </c>
      <c r="G255" s="76">
        <v>2.5271992715683713E9</v>
      </c>
      <c r="H255" s="76">
        <v>179271.2569125576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76">
        <v>40.0</v>
      </c>
      <c r="B256" s="76">
        <v>58.9</v>
      </c>
      <c r="C256" s="76">
        <v>10.0</v>
      </c>
      <c r="D256" s="76">
        <f t="shared" si="58"/>
        <v>49</v>
      </c>
      <c r="E256" s="76">
        <v>115000.0</v>
      </c>
      <c r="F256" s="76">
        <v>-53950.262629231</v>
      </c>
      <c r="G256" s="76">
        <v>2.910630837762999E9</v>
      </c>
      <c r="H256" s="76">
        <v>168950.262629231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76">
        <v>37.0</v>
      </c>
      <c r="B257" s="76">
        <v>60.0</v>
      </c>
      <c r="C257" s="76">
        <v>2.0</v>
      </c>
      <c r="D257" s="76">
        <f t="shared" si="58"/>
        <v>64</v>
      </c>
      <c r="E257" s="76">
        <v>112000.0</v>
      </c>
      <c r="F257" s="76">
        <v>-35923.83575122175</v>
      </c>
      <c r="G257" s="76">
        <v>1.2905219750807579E9</v>
      </c>
      <c r="H257" s="76">
        <v>147923.83575122175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51">
        <v>24.0</v>
      </c>
      <c r="B258" s="51">
        <v>61.0</v>
      </c>
      <c r="C258" s="51">
        <v>7.0</v>
      </c>
      <c r="D258" s="51">
        <f t="shared" si="58"/>
        <v>2</v>
      </c>
      <c r="E258" s="51">
        <v>117500.0</v>
      </c>
      <c r="F258" s="51">
        <v>-33026.03880557191</v>
      </c>
      <c r="G258" s="51">
        <v>1.0907192391871417E9</v>
      </c>
      <c r="H258" s="51">
        <v>150526.0388055719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51">
        <v>22.0</v>
      </c>
      <c r="B259" s="51">
        <v>63.5</v>
      </c>
      <c r="C259" s="51">
        <v>10.0</v>
      </c>
      <c r="D259" s="51">
        <f t="shared" si="58"/>
        <v>15</v>
      </c>
      <c r="E259" s="51">
        <v>132700.0</v>
      </c>
      <c r="F259" s="51">
        <v>-46257.33369567263</v>
      </c>
      <c r="G259" s="51">
        <v>2.13974092063281E9</v>
      </c>
      <c r="H259" s="51">
        <v>178957.33369567263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51">
        <v>15.0</v>
      </c>
      <c r="B260" s="51">
        <v>65.5</v>
      </c>
      <c r="C260" s="51">
        <v>2.0</v>
      </c>
      <c r="D260" s="51">
        <f t="shared" si="58"/>
        <v>0</v>
      </c>
      <c r="E260" s="51">
        <v>218000.0</v>
      </c>
      <c r="F260" s="51">
        <v>77892.92110387009</v>
      </c>
      <c r="G260" s="51">
        <v>6.06730715809373E9</v>
      </c>
      <c r="H260" s="51">
        <v>140107.0788961299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51">
        <v>33.0</v>
      </c>
      <c r="B261" s="51">
        <v>68.4</v>
      </c>
      <c r="C261" s="51">
        <v>7.0</v>
      </c>
      <c r="D261" s="51">
        <f t="shared" si="58"/>
        <v>3</v>
      </c>
      <c r="E261" s="51">
        <v>130000.0</v>
      </c>
      <c r="F261" s="51">
        <v>-40279.89772134012</v>
      </c>
      <c r="G261" s="51">
        <v>1.6224701604416213E9</v>
      </c>
      <c r="H261" s="51">
        <v>170279.89772134012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51">
        <v>1.0</v>
      </c>
      <c r="B262" s="51">
        <v>73.8</v>
      </c>
      <c r="C262" s="51">
        <v>5.0</v>
      </c>
      <c r="D262" s="51">
        <f t="shared" si="58"/>
        <v>4</v>
      </c>
      <c r="E262" s="51">
        <v>107010.0</v>
      </c>
      <c r="F262" s="51">
        <v>-72584.77038912737</v>
      </c>
      <c r="G262" s="51">
        <v>5.268548892442342E9</v>
      </c>
      <c r="H262" s="51">
        <v>179594.77038912737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51">
        <v>3.0</v>
      </c>
      <c r="B263" s="51">
        <v>76.9</v>
      </c>
      <c r="C263" s="51">
        <v>2.0</v>
      </c>
      <c r="D263" s="51">
        <f t="shared" si="58"/>
        <v>8</v>
      </c>
      <c r="E263" s="51">
        <v>169000.0</v>
      </c>
      <c r="F263" s="51">
        <v>5349.3759360142285</v>
      </c>
      <c r="G263" s="51">
        <v>2.8615822904808104E7</v>
      </c>
      <c r="H263" s="51">
        <v>163650.62406398577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51">
        <v>12.0</v>
      </c>
      <c r="B264" s="51">
        <v>79.3</v>
      </c>
      <c r="C264" s="51">
        <v>5.0</v>
      </c>
      <c r="D264" s="51">
        <f t="shared" si="58"/>
        <v>56</v>
      </c>
      <c r="E264" s="51">
        <v>135000.0</v>
      </c>
      <c r="F264" s="51">
        <v>-41157.03049259432</v>
      </c>
      <c r="G264" s="51">
        <v>1.6939011589683387E9</v>
      </c>
      <c r="H264" s="51">
        <v>176157.03049259432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51">
        <v>30.0</v>
      </c>
      <c r="B265" s="51">
        <v>90.3</v>
      </c>
      <c r="C265" s="51">
        <v>16.0</v>
      </c>
      <c r="D265" s="51">
        <f t="shared" si="58"/>
        <v>1</v>
      </c>
      <c r="E265" s="51">
        <v>190000.0</v>
      </c>
      <c r="F265" s="51">
        <v>-51015.78368603933</v>
      </c>
      <c r="G265" s="51">
        <v>2.6026101851007566E9</v>
      </c>
      <c r="H265" s="51">
        <v>241015.78368603933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51">
        <v>18.0</v>
      </c>
      <c r="B266" s="51">
        <v>94.2</v>
      </c>
      <c r="C266" s="51">
        <v>12.0</v>
      </c>
      <c r="D266" s="51">
        <f t="shared" si="58"/>
        <v>0</v>
      </c>
      <c r="E266" s="51">
        <v>189000.0</v>
      </c>
      <c r="F266" s="51">
        <v>-38556.75628357218</v>
      </c>
      <c r="G266" s="51">
        <v>1.4866234551107826E9</v>
      </c>
      <c r="H266" s="51">
        <v>227556.75628357218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51">
        <v>2.0</v>
      </c>
      <c r="B267" s="51">
        <v>98.1</v>
      </c>
      <c r="C267" s="51">
        <v>6.0</v>
      </c>
      <c r="D267" s="51">
        <f t="shared" si="58"/>
        <v>0</v>
      </c>
      <c r="E267" s="51">
        <v>235000.0</v>
      </c>
      <c r="F267" s="51">
        <v>22002.085411282053</v>
      </c>
      <c r="G267" s="51">
        <v>4.840917624453505E8</v>
      </c>
      <c r="H267" s="51">
        <v>212997.91458871795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51">
        <v>14.0</v>
      </c>
      <c r="B268" s="51">
        <v>107.7</v>
      </c>
      <c r="C268" s="51">
        <v>16.0</v>
      </c>
      <c r="D268" s="51">
        <f t="shared" si="58"/>
        <v>64</v>
      </c>
      <c r="E268" s="51">
        <v>235000.0</v>
      </c>
      <c r="F268" s="51">
        <v>-15538.281918512192</v>
      </c>
      <c r="G268" s="51">
        <v>2.414382049791629E8</v>
      </c>
      <c r="H268" s="51">
        <v>250538.2819185122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51">
        <v>6.0</v>
      </c>
      <c r="B269" s="51">
        <v>122.0</v>
      </c>
      <c r="C269" s="51">
        <v>30.0</v>
      </c>
      <c r="D269" s="51">
        <f t="shared" si="58"/>
        <v>51</v>
      </c>
      <c r="E269" s="51">
        <v>498000.0</v>
      </c>
      <c r="F269" s="51">
        <v>164273.69480475032</v>
      </c>
      <c r="G269" s="51">
        <v>2.6985846804804253E10</v>
      </c>
      <c r="H269" s="51">
        <v>333726.3051952497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51">
        <v>21.0</v>
      </c>
      <c r="B270" s="51">
        <v>133.1</v>
      </c>
      <c r="C270" s="51">
        <v>4.0</v>
      </c>
      <c r="D270" s="51">
        <f t="shared" si="58"/>
        <v>3</v>
      </c>
      <c r="E270" s="51">
        <v>284900.0</v>
      </c>
      <c r="F270" s="51">
        <v>29113.553449433268</v>
      </c>
      <c r="G270" s="51">
        <v>8.475989944530077E8</v>
      </c>
      <c r="H270" s="51">
        <v>255786.44655056673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51">
        <v>10.0</v>
      </c>
      <c r="B271" s="51">
        <v>175.6</v>
      </c>
      <c r="C271" s="51">
        <v>5.0</v>
      </c>
      <c r="D271" s="51">
        <f t="shared" si="58"/>
        <v>35</v>
      </c>
      <c r="E271" s="51">
        <v>320000.0</v>
      </c>
      <c r="F271" s="51">
        <v>-22909.874461950792</v>
      </c>
      <c r="G271" s="51">
        <v>5.248623478623451E8</v>
      </c>
      <c r="H271" s="51">
        <v>342909.8744619508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>
      <c r="A273" s="5" t="s">
        <v>81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>
      <c r="A275" s="17" t="s">
        <v>32</v>
      </c>
      <c r="B275" s="17" t="s">
        <v>1</v>
      </c>
      <c r="C275" s="20" t="s">
        <v>82</v>
      </c>
      <c r="D275" s="20" t="s">
        <v>83</v>
      </c>
      <c r="E275" s="3"/>
      <c r="F275" s="3"/>
      <c r="G275" s="3"/>
      <c r="H275" s="3"/>
      <c r="I275" s="3"/>
      <c r="J275" s="3"/>
      <c r="K275" s="1" t="s">
        <v>0</v>
      </c>
      <c r="L275" s="2" t="s">
        <v>2</v>
      </c>
      <c r="M275" s="20" t="s">
        <v>84</v>
      </c>
      <c r="N275" s="20" t="s">
        <v>83</v>
      </c>
      <c r="O275" s="3"/>
      <c r="P275" s="3"/>
      <c r="Q275" s="3"/>
      <c r="R275" s="3"/>
      <c r="S275" s="3"/>
      <c r="T275" s="3"/>
      <c r="U275" s="1" t="s">
        <v>0</v>
      </c>
      <c r="V275" s="1" t="s">
        <v>3</v>
      </c>
      <c r="W275" s="20" t="s">
        <v>85</v>
      </c>
      <c r="X275" s="20" t="s">
        <v>83</v>
      </c>
      <c r="Y275" s="3"/>
      <c r="Z275" s="3"/>
      <c r="AA275" s="3"/>
      <c r="AB275" s="3"/>
      <c r="AC275" s="3"/>
      <c r="AD275" s="3"/>
      <c r="AE275" s="3"/>
      <c r="AF275" s="3"/>
      <c r="AG275" s="3"/>
    </row>
    <row r="276">
      <c r="A276" s="22">
        <v>1.0</v>
      </c>
      <c r="B276" s="23">
        <f t="shared" ref="B276:B316" si="59">B114</f>
        <v>73.8</v>
      </c>
      <c r="C276" s="23">
        <f t="shared" ref="C276:C316" si="60">LN(B276)</f>
        <v>4.301358732</v>
      </c>
      <c r="D276" s="23">
        <f t="shared" ref="D276:D316" si="61">LN($G114)</f>
        <v>22.38502081</v>
      </c>
      <c r="E276" s="3"/>
      <c r="F276" s="3"/>
      <c r="G276" s="3"/>
      <c r="H276" s="3"/>
      <c r="I276" s="3"/>
      <c r="J276" s="3"/>
      <c r="K276" s="22">
        <v>1.0</v>
      </c>
      <c r="L276" s="23">
        <f t="shared" ref="L276:L316" si="62">C114</f>
        <v>5</v>
      </c>
      <c r="M276" s="23">
        <f t="shared" ref="M276:M316" si="63">LN(L276)</f>
        <v>1.609437912</v>
      </c>
      <c r="N276" s="23">
        <f t="shared" ref="N276:N316" si="64">LN($G114)</f>
        <v>22.38502081</v>
      </c>
      <c r="O276" s="3"/>
      <c r="P276" s="3"/>
      <c r="Q276" s="3"/>
      <c r="R276" s="3"/>
      <c r="S276" s="3"/>
      <c r="T276" s="3"/>
      <c r="U276" s="22">
        <v>1.0</v>
      </c>
      <c r="V276" s="23">
        <f t="shared" ref="V276:V316" si="65">D114 + 1</f>
        <v>1</v>
      </c>
      <c r="W276" s="23">
        <f t="shared" ref="W276:W316" si="66">LN(V276)</f>
        <v>0</v>
      </c>
      <c r="X276" s="23">
        <f t="shared" ref="X276:X316" si="67">LN($G114)</f>
        <v>22.38502081</v>
      </c>
      <c r="Y276" s="3"/>
      <c r="Z276" s="3"/>
      <c r="AA276" s="3"/>
      <c r="AB276" s="3"/>
      <c r="AC276" s="3"/>
      <c r="AD276" s="3"/>
      <c r="AE276" s="3"/>
      <c r="AF276" s="3"/>
      <c r="AG276" s="3"/>
    </row>
    <row r="277">
      <c r="A277" s="22">
        <v>2.0</v>
      </c>
      <c r="B277" s="23">
        <f t="shared" si="59"/>
        <v>98.1</v>
      </c>
      <c r="C277" s="23">
        <f t="shared" si="60"/>
        <v>4.585987367</v>
      </c>
      <c r="D277" s="23">
        <f t="shared" si="61"/>
        <v>19.99778504</v>
      </c>
      <c r="E277" s="3"/>
      <c r="F277" s="3"/>
      <c r="G277" s="3"/>
      <c r="H277" s="3"/>
      <c r="I277" s="3"/>
      <c r="J277" s="3"/>
      <c r="K277" s="22">
        <v>2.0</v>
      </c>
      <c r="L277" s="23">
        <f t="shared" si="62"/>
        <v>6</v>
      </c>
      <c r="M277" s="23">
        <f t="shared" si="63"/>
        <v>1.791759469</v>
      </c>
      <c r="N277" s="23">
        <f t="shared" si="64"/>
        <v>19.99778504</v>
      </c>
      <c r="O277" s="3"/>
      <c r="P277" s="3"/>
      <c r="Q277" s="3"/>
      <c r="R277" s="3"/>
      <c r="S277" s="3"/>
      <c r="T277" s="3"/>
      <c r="U277" s="22">
        <v>2.0</v>
      </c>
      <c r="V277" s="23">
        <f t="shared" si="65"/>
        <v>11</v>
      </c>
      <c r="W277" s="23">
        <f t="shared" si="66"/>
        <v>2.397895273</v>
      </c>
      <c r="X277" s="23">
        <f t="shared" si="67"/>
        <v>19.99778504</v>
      </c>
      <c r="Y277" s="3"/>
      <c r="Z277" s="3"/>
      <c r="AA277" s="3"/>
      <c r="AB277" s="3"/>
      <c r="AC277" s="3"/>
      <c r="AD277" s="3"/>
      <c r="AE277" s="3"/>
      <c r="AF277" s="3"/>
      <c r="AG277" s="3"/>
    </row>
    <row r="278">
      <c r="A278" s="22">
        <v>3.0</v>
      </c>
      <c r="B278" s="23">
        <f t="shared" si="59"/>
        <v>76.9</v>
      </c>
      <c r="C278" s="23">
        <f t="shared" si="60"/>
        <v>4.342505877</v>
      </c>
      <c r="D278" s="23">
        <f t="shared" si="61"/>
        <v>17.16947037</v>
      </c>
      <c r="E278" s="3"/>
      <c r="F278" s="3"/>
      <c r="G278" s="3"/>
      <c r="H278" s="3"/>
      <c r="I278" s="3"/>
      <c r="J278" s="3"/>
      <c r="K278" s="22">
        <v>3.0</v>
      </c>
      <c r="L278" s="23">
        <f t="shared" si="62"/>
        <v>2</v>
      </c>
      <c r="M278" s="23">
        <f t="shared" si="63"/>
        <v>0.6931471806</v>
      </c>
      <c r="N278" s="23">
        <f t="shared" si="64"/>
        <v>17.16947037</v>
      </c>
      <c r="O278" s="3"/>
      <c r="P278" s="3"/>
      <c r="Q278" s="3"/>
      <c r="R278" s="3"/>
      <c r="S278" s="3"/>
      <c r="T278" s="3"/>
      <c r="U278" s="22">
        <v>3.0</v>
      </c>
      <c r="V278" s="23">
        <f t="shared" si="65"/>
        <v>14</v>
      </c>
      <c r="W278" s="23">
        <f t="shared" si="66"/>
        <v>2.63905733</v>
      </c>
      <c r="X278" s="23">
        <f t="shared" si="67"/>
        <v>17.16947037</v>
      </c>
      <c r="Y278" s="3"/>
      <c r="Z278" s="3"/>
      <c r="AA278" s="3"/>
      <c r="AB278" s="3"/>
      <c r="AC278" s="3"/>
      <c r="AD278" s="3"/>
      <c r="AE278" s="3"/>
      <c r="AF278" s="3"/>
      <c r="AG278" s="3"/>
    </row>
    <row r="279">
      <c r="A279" s="22">
        <v>4.0</v>
      </c>
      <c r="B279" s="23">
        <f t="shared" si="59"/>
        <v>45</v>
      </c>
      <c r="C279" s="23">
        <f t="shared" si="60"/>
        <v>3.80666249</v>
      </c>
      <c r="D279" s="23">
        <f t="shared" si="61"/>
        <v>13.89153728</v>
      </c>
      <c r="E279" s="3"/>
      <c r="F279" s="3"/>
      <c r="G279" s="3"/>
      <c r="H279" s="3"/>
      <c r="I279" s="3"/>
      <c r="J279" s="3"/>
      <c r="K279" s="22">
        <v>4.0</v>
      </c>
      <c r="L279" s="23">
        <f t="shared" si="62"/>
        <v>4</v>
      </c>
      <c r="M279" s="23">
        <f t="shared" si="63"/>
        <v>1.386294361</v>
      </c>
      <c r="N279" s="23">
        <f t="shared" si="64"/>
        <v>13.89153728</v>
      </c>
      <c r="O279" s="3"/>
      <c r="P279" s="3"/>
      <c r="Q279" s="3"/>
      <c r="R279" s="3"/>
      <c r="S279" s="3"/>
      <c r="T279" s="3"/>
      <c r="U279" s="22">
        <v>4.0</v>
      </c>
      <c r="V279" s="23">
        <f t="shared" si="65"/>
        <v>64</v>
      </c>
      <c r="W279" s="23">
        <f t="shared" si="66"/>
        <v>4.158883083</v>
      </c>
      <c r="X279" s="23">
        <f t="shared" si="67"/>
        <v>13.89153728</v>
      </c>
      <c r="Y279" s="3"/>
      <c r="Z279" s="3"/>
      <c r="AA279" s="3"/>
      <c r="AB279" s="3"/>
      <c r="AC279" s="3"/>
      <c r="AD279" s="3"/>
      <c r="AE279" s="3"/>
      <c r="AF279" s="3"/>
      <c r="AG279" s="3"/>
    </row>
    <row r="280">
      <c r="A280" s="22">
        <v>5.0</v>
      </c>
      <c r="B280" s="23">
        <f t="shared" si="59"/>
        <v>55.6</v>
      </c>
      <c r="C280" s="23">
        <f t="shared" si="60"/>
        <v>4.018183201</v>
      </c>
      <c r="D280" s="23">
        <f t="shared" si="61"/>
        <v>17.8688725</v>
      </c>
      <c r="E280" s="3"/>
      <c r="F280" s="3"/>
      <c r="G280" s="3"/>
      <c r="H280" s="3"/>
      <c r="I280" s="3"/>
      <c r="J280" s="3"/>
      <c r="K280" s="22">
        <v>5.0</v>
      </c>
      <c r="L280" s="23">
        <f t="shared" si="62"/>
        <v>7</v>
      </c>
      <c r="M280" s="23">
        <f t="shared" si="63"/>
        <v>1.945910149</v>
      </c>
      <c r="N280" s="23">
        <f t="shared" si="64"/>
        <v>17.8688725</v>
      </c>
      <c r="O280" s="3"/>
      <c r="P280" s="3"/>
      <c r="Q280" s="3"/>
      <c r="R280" s="3"/>
      <c r="S280" s="3"/>
      <c r="T280" s="3"/>
      <c r="U280" s="22">
        <v>5.0</v>
      </c>
      <c r="V280" s="23">
        <f t="shared" si="65"/>
        <v>48</v>
      </c>
      <c r="W280" s="23">
        <f t="shared" si="66"/>
        <v>3.871201011</v>
      </c>
      <c r="X280" s="23">
        <f t="shared" si="67"/>
        <v>17.8688725</v>
      </c>
      <c r="Y280" s="3"/>
      <c r="Z280" s="3"/>
      <c r="AA280" s="3"/>
      <c r="AB280" s="3"/>
      <c r="AC280" s="3"/>
      <c r="AD280" s="3"/>
      <c r="AE280" s="3"/>
      <c r="AF280" s="3"/>
      <c r="AG280" s="3"/>
    </row>
    <row r="281">
      <c r="A281" s="22">
        <v>6.0</v>
      </c>
      <c r="B281" s="23">
        <f t="shared" si="59"/>
        <v>122</v>
      </c>
      <c r="C281" s="23">
        <f t="shared" si="60"/>
        <v>4.804021045</v>
      </c>
      <c r="D281" s="23">
        <f t="shared" si="61"/>
        <v>24.01857837</v>
      </c>
      <c r="E281" s="3"/>
      <c r="F281" s="3"/>
      <c r="G281" s="3"/>
      <c r="H281" s="3"/>
      <c r="I281" s="3"/>
      <c r="J281" s="3"/>
      <c r="K281" s="22">
        <v>6.0</v>
      </c>
      <c r="L281" s="23">
        <f t="shared" si="62"/>
        <v>30</v>
      </c>
      <c r="M281" s="23">
        <f t="shared" si="63"/>
        <v>3.401197382</v>
      </c>
      <c r="N281" s="23">
        <f t="shared" si="64"/>
        <v>24.01857837</v>
      </c>
      <c r="O281" s="3"/>
      <c r="P281" s="3"/>
      <c r="Q281" s="3"/>
      <c r="R281" s="3"/>
      <c r="S281" s="3"/>
      <c r="T281" s="3"/>
      <c r="U281" s="22">
        <v>6.0</v>
      </c>
      <c r="V281" s="23">
        <f t="shared" si="65"/>
        <v>4</v>
      </c>
      <c r="W281" s="23">
        <f t="shared" si="66"/>
        <v>1.386294361</v>
      </c>
      <c r="X281" s="23">
        <f t="shared" si="67"/>
        <v>24.01857837</v>
      </c>
      <c r="Y281" s="3"/>
      <c r="Z281" s="3"/>
      <c r="AA281" s="3"/>
      <c r="AB281" s="3"/>
      <c r="AC281" s="3"/>
      <c r="AD281" s="3"/>
      <c r="AE281" s="3"/>
      <c r="AF281" s="3"/>
      <c r="AG281" s="3"/>
    </row>
    <row r="282">
      <c r="A282" s="22">
        <v>7.0</v>
      </c>
      <c r="B282" s="23">
        <f t="shared" si="59"/>
        <v>48.9</v>
      </c>
      <c r="C282" s="23">
        <f t="shared" si="60"/>
        <v>3.889777396</v>
      </c>
      <c r="D282" s="23">
        <f t="shared" si="61"/>
        <v>16.5578411</v>
      </c>
      <c r="E282" s="3"/>
      <c r="F282" s="3"/>
      <c r="G282" s="3"/>
      <c r="H282" s="3"/>
      <c r="I282" s="3"/>
      <c r="J282" s="3"/>
      <c r="K282" s="22">
        <v>7.0</v>
      </c>
      <c r="L282" s="23">
        <f t="shared" si="62"/>
        <v>2</v>
      </c>
      <c r="M282" s="23">
        <f t="shared" si="63"/>
        <v>0.6931471806</v>
      </c>
      <c r="N282" s="23">
        <f t="shared" si="64"/>
        <v>16.5578411</v>
      </c>
      <c r="O282" s="3"/>
      <c r="P282" s="3"/>
      <c r="Q282" s="3"/>
      <c r="R282" s="3"/>
      <c r="S282" s="3"/>
      <c r="T282" s="3"/>
      <c r="U282" s="22">
        <v>7.0</v>
      </c>
      <c r="V282" s="23">
        <f t="shared" si="65"/>
        <v>40</v>
      </c>
      <c r="W282" s="23">
        <f t="shared" si="66"/>
        <v>3.688879454</v>
      </c>
      <c r="X282" s="23">
        <f t="shared" si="67"/>
        <v>16.5578411</v>
      </c>
      <c r="Y282" s="3"/>
      <c r="Z282" s="3"/>
      <c r="AA282" s="3"/>
      <c r="AB282" s="3"/>
      <c r="AC282" s="3"/>
      <c r="AD282" s="3"/>
      <c r="AE282" s="3"/>
      <c r="AF282" s="3"/>
      <c r="AG282" s="3"/>
    </row>
    <row r="283">
      <c r="A283" s="22">
        <v>8.0</v>
      </c>
      <c r="B283" s="23">
        <f t="shared" si="59"/>
        <v>41.15</v>
      </c>
      <c r="C283" s="23">
        <f t="shared" si="60"/>
        <v>3.717223927</v>
      </c>
      <c r="D283" s="23">
        <f t="shared" si="61"/>
        <v>27.01065633</v>
      </c>
      <c r="E283" s="3"/>
      <c r="F283" s="3"/>
      <c r="G283" s="3"/>
      <c r="H283" s="3"/>
      <c r="I283" s="3"/>
      <c r="J283" s="3"/>
      <c r="K283" s="22">
        <v>8.0</v>
      </c>
      <c r="L283" s="23">
        <f t="shared" si="62"/>
        <v>10</v>
      </c>
      <c r="M283" s="23">
        <f t="shared" si="63"/>
        <v>2.302585093</v>
      </c>
      <c r="N283" s="23">
        <f t="shared" si="64"/>
        <v>27.01065633</v>
      </c>
      <c r="O283" s="3"/>
      <c r="P283" s="3"/>
      <c r="Q283" s="3"/>
      <c r="R283" s="3"/>
      <c r="S283" s="3"/>
      <c r="T283" s="3"/>
      <c r="U283" s="22">
        <v>8.0</v>
      </c>
      <c r="V283" s="23">
        <f t="shared" si="65"/>
        <v>1</v>
      </c>
      <c r="W283" s="23">
        <f t="shared" si="66"/>
        <v>0</v>
      </c>
      <c r="X283" s="23">
        <f t="shared" si="67"/>
        <v>27.01065633</v>
      </c>
      <c r="Y283" s="3"/>
      <c r="Z283" s="3"/>
      <c r="AA283" s="3"/>
      <c r="AB283" s="3"/>
      <c r="AC283" s="3"/>
      <c r="AD283" s="3"/>
      <c r="AE283" s="3"/>
      <c r="AF283" s="3"/>
      <c r="AG283" s="3"/>
    </row>
    <row r="284">
      <c r="A284" s="22">
        <v>9.0</v>
      </c>
      <c r="B284" s="23">
        <f t="shared" si="59"/>
        <v>42.1</v>
      </c>
      <c r="C284" s="23">
        <f t="shared" si="60"/>
        <v>3.740047741</v>
      </c>
      <c r="D284" s="23">
        <f t="shared" si="61"/>
        <v>10.41839215</v>
      </c>
      <c r="E284" s="3"/>
      <c r="F284" s="3"/>
      <c r="G284" s="3"/>
      <c r="H284" s="3"/>
      <c r="I284" s="3"/>
      <c r="J284" s="3"/>
      <c r="K284" s="22">
        <v>9.0</v>
      </c>
      <c r="L284" s="23">
        <f t="shared" si="62"/>
        <v>4</v>
      </c>
      <c r="M284" s="23">
        <f t="shared" si="63"/>
        <v>1.386294361</v>
      </c>
      <c r="N284" s="23">
        <f t="shared" si="64"/>
        <v>10.41839215</v>
      </c>
      <c r="O284" s="3"/>
      <c r="P284" s="3"/>
      <c r="Q284" s="3"/>
      <c r="R284" s="3"/>
      <c r="S284" s="3"/>
      <c r="T284" s="3"/>
      <c r="U284" s="22">
        <v>9.0</v>
      </c>
      <c r="V284" s="23">
        <f t="shared" si="65"/>
        <v>6</v>
      </c>
      <c r="W284" s="23">
        <f t="shared" si="66"/>
        <v>1.791759469</v>
      </c>
      <c r="X284" s="23">
        <f t="shared" si="67"/>
        <v>10.41839215</v>
      </c>
      <c r="Y284" s="3"/>
      <c r="Z284" s="3"/>
      <c r="AA284" s="3"/>
      <c r="AB284" s="3"/>
      <c r="AC284" s="3"/>
      <c r="AD284" s="3"/>
      <c r="AE284" s="3"/>
      <c r="AF284" s="3"/>
      <c r="AG284" s="3"/>
    </row>
    <row r="285">
      <c r="A285" s="22">
        <v>10.0</v>
      </c>
      <c r="B285" s="23">
        <f t="shared" si="59"/>
        <v>175.6</v>
      </c>
      <c r="C285" s="23">
        <f t="shared" si="60"/>
        <v>5.168208681</v>
      </c>
      <c r="D285" s="23">
        <f t="shared" si="61"/>
        <v>20.07864659</v>
      </c>
      <c r="E285" s="3"/>
      <c r="F285" s="3"/>
      <c r="G285" s="3"/>
      <c r="H285" s="3"/>
      <c r="I285" s="3"/>
      <c r="J285" s="3"/>
      <c r="K285" s="22">
        <v>10.0</v>
      </c>
      <c r="L285" s="23">
        <f t="shared" si="62"/>
        <v>5</v>
      </c>
      <c r="M285" s="23">
        <f t="shared" si="63"/>
        <v>1.609437912</v>
      </c>
      <c r="N285" s="23">
        <f t="shared" si="64"/>
        <v>20.07864659</v>
      </c>
      <c r="O285" s="3"/>
      <c r="P285" s="3"/>
      <c r="Q285" s="3"/>
      <c r="R285" s="3"/>
      <c r="S285" s="3"/>
      <c r="T285" s="3"/>
      <c r="U285" s="22">
        <v>10.0</v>
      </c>
      <c r="V285" s="23">
        <f t="shared" si="65"/>
        <v>1</v>
      </c>
      <c r="W285" s="23">
        <f t="shared" si="66"/>
        <v>0</v>
      </c>
      <c r="X285" s="23">
        <f t="shared" si="67"/>
        <v>20.07864659</v>
      </c>
      <c r="Y285" s="3"/>
      <c r="Z285" s="3"/>
      <c r="AA285" s="3"/>
      <c r="AB285" s="3"/>
      <c r="AC285" s="3"/>
      <c r="AD285" s="3"/>
      <c r="AE285" s="3"/>
      <c r="AF285" s="3"/>
      <c r="AG285" s="3"/>
    </row>
    <row r="286">
      <c r="A286" s="22">
        <v>11.0</v>
      </c>
      <c r="B286" s="23">
        <f t="shared" si="59"/>
        <v>56.6</v>
      </c>
      <c r="C286" s="23">
        <f t="shared" si="60"/>
        <v>4.036008985</v>
      </c>
      <c r="D286" s="23">
        <f t="shared" si="61"/>
        <v>21.40960129</v>
      </c>
      <c r="E286" s="3"/>
      <c r="F286" s="3"/>
      <c r="G286" s="3"/>
      <c r="H286" s="3"/>
      <c r="I286" s="3"/>
      <c r="J286" s="3"/>
      <c r="K286" s="22">
        <v>11.0</v>
      </c>
      <c r="L286" s="23">
        <f t="shared" si="62"/>
        <v>2</v>
      </c>
      <c r="M286" s="23">
        <f t="shared" si="63"/>
        <v>0.6931471806</v>
      </c>
      <c r="N286" s="23">
        <f t="shared" si="64"/>
        <v>21.40960129</v>
      </c>
      <c r="O286" s="3"/>
      <c r="P286" s="3"/>
      <c r="Q286" s="3"/>
      <c r="R286" s="3"/>
      <c r="S286" s="3"/>
      <c r="T286" s="3"/>
      <c r="U286" s="22">
        <v>11.0</v>
      </c>
      <c r="V286" s="23">
        <f t="shared" si="65"/>
        <v>1</v>
      </c>
      <c r="W286" s="23">
        <f t="shared" si="66"/>
        <v>0</v>
      </c>
      <c r="X286" s="23">
        <f t="shared" si="67"/>
        <v>21.40960129</v>
      </c>
      <c r="Y286" s="3"/>
      <c r="Z286" s="3"/>
      <c r="AA286" s="3"/>
      <c r="AB286" s="3"/>
      <c r="AC286" s="3"/>
      <c r="AD286" s="3"/>
      <c r="AE286" s="3"/>
      <c r="AF286" s="3"/>
      <c r="AG286" s="3"/>
    </row>
    <row r="287">
      <c r="A287" s="22">
        <v>12.0</v>
      </c>
      <c r="B287" s="23">
        <f t="shared" si="59"/>
        <v>79.3</v>
      </c>
      <c r="C287" s="23">
        <f t="shared" si="60"/>
        <v>4.373238129</v>
      </c>
      <c r="D287" s="23">
        <f t="shared" si="61"/>
        <v>21.25030008</v>
      </c>
      <c r="E287" s="3"/>
      <c r="F287" s="3"/>
      <c r="G287" s="3"/>
      <c r="H287" s="3"/>
      <c r="I287" s="3"/>
      <c r="J287" s="3"/>
      <c r="K287" s="22">
        <v>12.0</v>
      </c>
      <c r="L287" s="23">
        <f t="shared" si="62"/>
        <v>5</v>
      </c>
      <c r="M287" s="23">
        <f t="shared" si="63"/>
        <v>1.609437912</v>
      </c>
      <c r="N287" s="23">
        <f t="shared" si="64"/>
        <v>21.25030008</v>
      </c>
      <c r="O287" s="3"/>
      <c r="P287" s="3"/>
      <c r="Q287" s="3"/>
      <c r="R287" s="3"/>
      <c r="S287" s="3"/>
      <c r="T287" s="3"/>
      <c r="U287" s="22">
        <v>12.0</v>
      </c>
      <c r="V287" s="23">
        <f t="shared" si="65"/>
        <v>15</v>
      </c>
      <c r="W287" s="23">
        <f t="shared" si="66"/>
        <v>2.708050201</v>
      </c>
      <c r="X287" s="23">
        <f t="shared" si="67"/>
        <v>21.25030008</v>
      </c>
      <c r="Y287" s="3"/>
      <c r="Z287" s="3"/>
      <c r="AA287" s="3"/>
      <c r="AB287" s="3"/>
      <c r="AC287" s="3"/>
      <c r="AD287" s="3"/>
      <c r="AE287" s="3"/>
      <c r="AF287" s="3"/>
      <c r="AG287" s="3"/>
    </row>
    <row r="288">
      <c r="A288" s="22">
        <v>13.0</v>
      </c>
      <c r="B288" s="23">
        <f t="shared" si="59"/>
        <v>32.2</v>
      </c>
      <c r="C288" s="23">
        <f t="shared" si="60"/>
        <v>3.471966453</v>
      </c>
      <c r="D288" s="23">
        <f t="shared" si="61"/>
        <v>14.9851186</v>
      </c>
      <c r="E288" s="3"/>
      <c r="F288" s="3"/>
      <c r="G288" s="3"/>
      <c r="H288" s="3"/>
      <c r="I288" s="3"/>
      <c r="J288" s="3"/>
      <c r="K288" s="22">
        <v>13.0</v>
      </c>
      <c r="L288" s="23">
        <f t="shared" si="62"/>
        <v>5</v>
      </c>
      <c r="M288" s="23">
        <f t="shared" si="63"/>
        <v>1.609437912</v>
      </c>
      <c r="N288" s="23">
        <f t="shared" si="64"/>
        <v>14.9851186</v>
      </c>
      <c r="O288" s="3"/>
      <c r="P288" s="3"/>
      <c r="Q288" s="3"/>
      <c r="R288" s="3"/>
      <c r="S288" s="3"/>
      <c r="T288" s="3"/>
      <c r="U288" s="22">
        <v>13.0</v>
      </c>
      <c r="V288" s="23">
        <f t="shared" si="65"/>
        <v>3</v>
      </c>
      <c r="W288" s="23">
        <f t="shared" si="66"/>
        <v>1.098612289</v>
      </c>
      <c r="X288" s="23">
        <f t="shared" si="67"/>
        <v>14.9851186</v>
      </c>
      <c r="Y288" s="3"/>
      <c r="Z288" s="3"/>
      <c r="AA288" s="3"/>
      <c r="AB288" s="3"/>
      <c r="AC288" s="3"/>
      <c r="AD288" s="3"/>
      <c r="AE288" s="3"/>
      <c r="AF288" s="3"/>
      <c r="AG288" s="3"/>
    </row>
    <row r="289">
      <c r="A289" s="22">
        <v>14.0</v>
      </c>
      <c r="B289" s="23">
        <f t="shared" si="59"/>
        <v>107.7</v>
      </c>
      <c r="C289" s="23">
        <f t="shared" si="60"/>
        <v>4.679349584</v>
      </c>
      <c r="D289" s="23">
        <f t="shared" si="61"/>
        <v>19.30212412</v>
      </c>
      <c r="E289" s="3"/>
      <c r="F289" s="3"/>
      <c r="G289" s="3"/>
      <c r="H289" s="3"/>
      <c r="I289" s="3"/>
      <c r="J289" s="3"/>
      <c r="K289" s="22">
        <v>14.0</v>
      </c>
      <c r="L289" s="23">
        <f t="shared" si="62"/>
        <v>16</v>
      </c>
      <c r="M289" s="23">
        <f t="shared" si="63"/>
        <v>2.772588722</v>
      </c>
      <c r="N289" s="23">
        <f t="shared" si="64"/>
        <v>19.30212412</v>
      </c>
      <c r="O289" s="3"/>
      <c r="P289" s="3"/>
      <c r="Q289" s="3"/>
      <c r="R289" s="3"/>
      <c r="S289" s="3"/>
      <c r="T289" s="3"/>
      <c r="U289" s="22">
        <v>14.0</v>
      </c>
      <c r="V289" s="23">
        <f t="shared" si="65"/>
        <v>22</v>
      </c>
      <c r="W289" s="23">
        <f t="shared" si="66"/>
        <v>3.091042453</v>
      </c>
      <c r="X289" s="23">
        <f t="shared" si="67"/>
        <v>19.30212412</v>
      </c>
      <c r="Y289" s="3"/>
      <c r="Z289" s="3"/>
      <c r="AA289" s="3"/>
      <c r="AB289" s="3"/>
      <c r="AC289" s="3"/>
      <c r="AD289" s="3"/>
      <c r="AE289" s="3"/>
      <c r="AF289" s="3"/>
      <c r="AG289" s="3"/>
    </row>
    <row r="290">
      <c r="A290" s="22">
        <v>15.0</v>
      </c>
      <c r="B290" s="23">
        <f t="shared" si="59"/>
        <v>65.5</v>
      </c>
      <c r="C290" s="23">
        <f t="shared" si="60"/>
        <v>4.182050143</v>
      </c>
      <c r="D290" s="23">
        <f t="shared" si="61"/>
        <v>22.52618071</v>
      </c>
      <c r="E290" s="3"/>
      <c r="F290" s="3"/>
      <c r="G290" s="3"/>
      <c r="H290" s="3"/>
      <c r="I290" s="3"/>
      <c r="J290" s="3"/>
      <c r="K290" s="22">
        <v>15.0</v>
      </c>
      <c r="L290" s="23">
        <f t="shared" si="62"/>
        <v>2</v>
      </c>
      <c r="M290" s="23">
        <f t="shared" si="63"/>
        <v>0.6931471806</v>
      </c>
      <c r="N290" s="23">
        <f t="shared" si="64"/>
        <v>22.52618071</v>
      </c>
      <c r="O290" s="3"/>
      <c r="P290" s="3"/>
      <c r="Q290" s="3"/>
      <c r="R290" s="3"/>
      <c r="S290" s="3"/>
      <c r="T290" s="3"/>
      <c r="U290" s="22">
        <v>15.0</v>
      </c>
      <c r="V290" s="23">
        <f t="shared" si="65"/>
        <v>20</v>
      </c>
      <c r="W290" s="23">
        <f t="shared" si="66"/>
        <v>2.995732274</v>
      </c>
      <c r="X290" s="23">
        <f t="shared" si="67"/>
        <v>22.52618071</v>
      </c>
      <c r="Y290" s="3"/>
      <c r="Z290" s="3"/>
      <c r="AA290" s="3"/>
      <c r="AB290" s="3"/>
      <c r="AC290" s="3"/>
      <c r="AD290" s="3"/>
      <c r="AE290" s="3"/>
      <c r="AF290" s="3"/>
      <c r="AG290" s="3"/>
    </row>
    <row r="291">
      <c r="A291" s="22">
        <v>16.0</v>
      </c>
      <c r="B291" s="23">
        <f t="shared" si="59"/>
        <v>35.3</v>
      </c>
      <c r="C291" s="23">
        <f t="shared" si="60"/>
        <v>3.563882964</v>
      </c>
      <c r="D291" s="23">
        <f t="shared" si="61"/>
        <v>20.40023847</v>
      </c>
      <c r="E291" s="3"/>
      <c r="F291" s="3"/>
      <c r="G291" s="3"/>
      <c r="H291" s="3"/>
      <c r="I291" s="3"/>
      <c r="J291" s="3"/>
      <c r="K291" s="22">
        <v>16.0</v>
      </c>
      <c r="L291" s="23">
        <f t="shared" si="62"/>
        <v>2</v>
      </c>
      <c r="M291" s="23">
        <f t="shared" si="63"/>
        <v>0.6931471806</v>
      </c>
      <c r="N291" s="23">
        <f t="shared" si="64"/>
        <v>20.40023847</v>
      </c>
      <c r="O291" s="3"/>
      <c r="P291" s="3"/>
      <c r="Q291" s="3"/>
      <c r="R291" s="3"/>
      <c r="S291" s="3"/>
      <c r="T291" s="3"/>
      <c r="U291" s="22">
        <v>16.0</v>
      </c>
      <c r="V291" s="23">
        <f t="shared" si="65"/>
        <v>22</v>
      </c>
      <c r="W291" s="23">
        <f t="shared" si="66"/>
        <v>3.091042453</v>
      </c>
      <c r="X291" s="23">
        <f t="shared" si="67"/>
        <v>20.40023847</v>
      </c>
      <c r="Y291" s="3"/>
      <c r="Z291" s="3"/>
      <c r="AA291" s="3"/>
      <c r="AB291" s="3"/>
      <c r="AC291" s="3"/>
      <c r="AD291" s="3"/>
      <c r="AE291" s="3"/>
      <c r="AF291" s="3"/>
      <c r="AG291" s="3"/>
    </row>
    <row r="292">
      <c r="A292" s="22">
        <v>17.0</v>
      </c>
      <c r="B292" s="23">
        <f t="shared" si="59"/>
        <v>45.8</v>
      </c>
      <c r="C292" s="23">
        <f t="shared" si="60"/>
        <v>3.824284091</v>
      </c>
      <c r="D292" s="23">
        <f t="shared" si="61"/>
        <v>21.84026502</v>
      </c>
      <c r="E292" s="3"/>
      <c r="F292" s="3"/>
      <c r="G292" s="3"/>
      <c r="H292" s="3"/>
      <c r="I292" s="3"/>
      <c r="J292" s="3"/>
      <c r="K292" s="22">
        <v>17.0</v>
      </c>
      <c r="L292" s="23">
        <f t="shared" si="62"/>
        <v>7</v>
      </c>
      <c r="M292" s="23">
        <f t="shared" si="63"/>
        <v>1.945910149</v>
      </c>
      <c r="N292" s="23">
        <f t="shared" si="64"/>
        <v>21.84026502</v>
      </c>
      <c r="O292" s="3"/>
      <c r="P292" s="3"/>
      <c r="Q292" s="3"/>
      <c r="R292" s="3"/>
      <c r="S292" s="3"/>
      <c r="T292" s="3"/>
      <c r="U292" s="22">
        <v>17.0</v>
      </c>
      <c r="V292" s="23">
        <f t="shared" si="65"/>
        <v>3</v>
      </c>
      <c r="W292" s="23">
        <f t="shared" si="66"/>
        <v>1.098612289</v>
      </c>
      <c r="X292" s="23">
        <f t="shared" si="67"/>
        <v>21.84026502</v>
      </c>
      <c r="Y292" s="3"/>
      <c r="Z292" s="3"/>
      <c r="AA292" s="3"/>
      <c r="AB292" s="3"/>
      <c r="AC292" s="3"/>
      <c r="AD292" s="3"/>
      <c r="AE292" s="3"/>
      <c r="AF292" s="3"/>
      <c r="AG292" s="3"/>
    </row>
    <row r="293">
      <c r="A293" s="22">
        <v>18.0</v>
      </c>
      <c r="B293" s="23">
        <f t="shared" si="59"/>
        <v>94.2</v>
      </c>
      <c r="C293" s="23">
        <f t="shared" si="60"/>
        <v>4.545420182</v>
      </c>
      <c r="D293" s="23">
        <f t="shared" si="61"/>
        <v>21.11977325</v>
      </c>
      <c r="E293" s="3"/>
      <c r="F293" s="3"/>
      <c r="G293" s="3"/>
      <c r="H293" s="3"/>
      <c r="I293" s="3"/>
      <c r="J293" s="3"/>
      <c r="K293" s="22">
        <v>18.0</v>
      </c>
      <c r="L293" s="23">
        <f t="shared" si="62"/>
        <v>12</v>
      </c>
      <c r="M293" s="23">
        <f t="shared" si="63"/>
        <v>2.48490665</v>
      </c>
      <c r="N293" s="23">
        <f t="shared" si="64"/>
        <v>21.11977325</v>
      </c>
      <c r="O293" s="3"/>
      <c r="P293" s="3"/>
      <c r="Q293" s="3"/>
      <c r="R293" s="3"/>
      <c r="S293" s="3"/>
      <c r="T293" s="3"/>
      <c r="U293" s="22">
        <v>18.0</v>
      </c>
      <c r="V293" s="23">
        <f t="shared" si="65"/>
        <v>9</v>
      </c>
      <c r="W293" s="23">
        <f t="shared" si="66"/>
        <v>2.197224577</v>
      </c>
      <c r="X293" s="23">
        <f t="shared" si="67"/>
        <v>21.11977325</v>
      </c>
      <c r="Y293" s="3"/>
      <c r="Z293" s="3"/>
      <c r="AA293" s="3"/>
      <c r="AB293" s="3"/>
      <c r="AC293" s="3"/>
      <c r="AD293" s="3"/>
      <c r="AE293" s="3"/>
      <c r="AF293" s="3"/>
      <c r="AG293" s="3"/>
    </row>
    <row r="294">
      <c r="A294" s="22">
        <v>19.0</v>
      </c>
      <c r="B294" s="23">
        <f t="shared" si="59"/>
        <v>58.3</v>
      </c>
      <c r="C294" s="23">
        <f t="shared" si="60"/>
        <v>4.065602093</v>
      </c>
      <c r="D294" s="23">
        <f t="shared" si="61"/>
        <v>21.65037752</v>
      </c>
      <c r="E294" s="3"/>
      <c r="F294" s="3"/>
      <c r="G294" s="3"/>
      <c r="H294" s="3"/>
      <c r="I294" s="3"/>
      <c r="J294" s="3"/>
      <c r="K294" s="22">
        <v>19.0</v>
      </c>
      <c r="L294" s="23">
        <f t="shared" si="62"/>
        <v>13</v>
      </c>
      <c r="M294" s="23">
        <f t="shared" si="63"/>
        <v>2.564949357</v>
      </c>
      <c r="N294" s="23">
        <f t="shared" si="64"/>
        <v>21.65037752</v>
      </c>
      <c r="O294" s="3"/>
      <c r="P294" s="3"/>
      <c r="Q294" s="3"/>
      <c r="R294" s="3"/>
      <c r="S294" s="3"/>
      <c r="T294" s="3"/>
      <c r="U294" s="22">
        <v>19.0</v>
      </c>
      <c r="V294" s="23">
        <f t="shared" si="65"/>
        <v>2</v>
      </c>
      <c r="W294" s="23">
        <f t="shared" si="66"/>
        <v>0.6931471806</v>
      </c>
      <c r="X294" s="23">
        <f t="shared" si="67"/>
        <v>21.65037752</v>
      </c>
      <c r="Y294" s="3"/>
      <c r="Z294" s="3"/>
      <c r="AA294" s="3"/>
      <c r="AB294" s="3"/>
      <c r="AC294" s="3"/>
      <c r="AD294" s="3"/>
      <c r="AE294" s="3"/>
      <c r="AF294" s="3"/>
      <c r="AG294" s="3"/>
    </row>
    <row r="295">
      <c r="A295" s="22">
        <v>20.0</v>
      </c>
      <c r="B295" s="23">
        <f t="shared" si="59"/>
        <v>58.2</v>
      </c>
      <c r="C295" s="23">
        <f t="shared" si="60"/>
        <v>4.063885355</v>
      </c>
      <c r="D295" s="23">
        <f t="shared" si="61"/>
        <v>21.91728624</v>
      </c>
      <c r="E295" s="3"/>
      <c r="F295" s="3"/>
      <c r="G295" s="3"/>
      <c r="H295" s="3"/>
      <c r="I295" s="3"/>
      <c r="J295" s="3"/>
      <c r="K295" s="22">
        <v>20.0</v>
      </c>
      <c r="L295" s="23">
        <f t="shared" si="62"/>
        <v>8</v>
      </c>
      <c r="M295" s="23">
        <f t="shared" si="63"/>
        <v>2.079441542</v>
      </c>
      <c r="N295" s="23">
        <f t="shared" si="64"/>
        <v>21.91728624</v>
      </c>
      <c r="O295" s="3"/>
      <c r="P295" s="3"/>
      <c r="Q295" s="3"/>
      <c r="R295" s="3"/>
      <c r="S295" s="3"/>
      <c r="T295" s="3"/>
      <c r="U295" s="22">
        <v>20.0</v>
      </c>
      <c r="V295" s="23">
        <f t="shared" si="65"/>
        <v>3</v>
      </c>
      <c r="W295" s="23">
        <f t="shared" si="66"/>
        <v>1.098612289</v>
      </c>
      <c r="X295" s="23">
        <f t="shared" si="67"/>
        <v>21.91728624</v>
      </c>
      <c r="Y295" s="3"/>
      <c r="Z295" s="3"/>
      <c r="AA295" s="3"/>
      <c r="AB295" s="3"/>
      <c r="AC295" s="3"/>
      <c r="AD295" s="3"/>
      <c r="AE295" s="3"/>
      <c r="AF295" s="3"/>
      <c r="AG295" s="3"/>
    </row>
    <row r="296">
      <c r="A296" s="22">
        <v>21.0</v>
      </c>
      <c r="B296" s="23">
        <f t="shared" si="59"/>
        <v>133.1</v>
      </c>
      <c r="C296" s="23">
        <f t="shared" si="60"/>
        <v>4.891100725</v>
      </c>
      <c r="D296" s="23">
        <f t="shared" si="61"/>
        <v>20.5579182</v>
      </c>
      <c r="E296" s="3"/>
      <c r="F296" s="3"/>
      <c r="G296" s="3"/>
      <c r="H296" s="3"/>
      <c r="I296" s="3"/>
      <c r="J296" s="3"/>
      <c r="K296" s="22">
        <v>21.0</v>
      </c>
      <c r="L296" s="23">
        <f t="shared" si="62"/>
        <v>4</v>
      </c>
      <c r="M296" s="23">
        <f t="shared" si="63"/>
        <v>1.386294361</v>
      </c>
      <c r="N296" s="23">
        <f t="shared" si="64"/>
        <v>20.5579182</v>
      </c>
      <c r="O296" s="3"/>
      <c r="P296" s="3"/>
      <c r="Q296" s="3"/>
      <c r="R296" s="3"/>
      <c r="S296" s="3"/>
      <c r="T296" s="3"/>
      <c r="U296" s="22">
        <v>21.0</v>
      </c>
      <c r="V296" s="23">
        <f t="shared" si="65"/>
        <v>19</v>
      </c>
      <c r="W296" s="23">
        <f t="shared" si="66"/>
        <v>2.944438979</v>
      </c>
      <c r="X296" s="23">
        <f t="shared" si="67"/>
        <v>20.5579182</v>
      </c>
      <c r="Y296" s="3"/>
      <c r="Z296" s="3"/>
      <c r="AA296" s="3"/>
      <c r="AB296" s="3"/>
      <c r="AC296" s="3"/>
      <c r="AD296" s="3"/>
      <c r="AE296" s="3"/>
      <c r="AF296" s="3"/>
      <c r="AG296" s="3"/>
    </row>
    <row r="297">
      <c r="A297" s="22">
        <v>22.0</v>
      </c>
      <c r="B297" s="23">
        <f t="shared" si="59"/>
        <v>63.5</v>
      </c>
      <c r="C297" s="23">
        <f t="shared" si="60"/>
        <v>4.151039906</v>
      </c>
      <c r="D297" s="23">
        <f t="shared" si="61"/>
        <v>21.48395059</v>
      </c>
      <c r="E297" s="3"/>
      <c r="F297" s="3"/>
      <c r="G297" s="3"/>
      <c r="H297" s="3"/>
      <c r="I297" s="3"/>
      <c r="J297" s="3"/>
      <c r="K297" s="22">
        <v>22.0</v>
      </c>
      <c r="L297" s="23">
        <f t="shared" si="62"/>
        <v>10</v>
      </c>
      <c r="M297" s="23">
        <f t="shared" si="63"/>
        <v>2.302585093</v>
      </c>
      <c r="N297" s="23">
        <f t="shared" si="64"/>
        <v>21.48395059</v>
      </c>
      <c r="O297" s="3"/>
      <c r="P297" s="3"/>
      <c r="Q297" s="3"/>
      <c r="R297" s="3"/>
      <c r="S297" s="3"/>
      <c r="T297" s="3"/>
      <c r="U297" s="22">
        <v>22.0</v>
      </c>
      <c r="V297" s="23">
        <f t="shared" si="65"/>
        <v>1</v>
      </c>
      <c r="W297" s="23">
        <f t="shared" si="66"/>
        <v>0</v>
      </c>
      <c r="X297" s="23">
        <f t="shared" si="67"/>
        <v>21.48395059</v>
      </c>
      <c r="Y297" s="3"/>
      <c r="Z297" s="3"/>
      <c r="AA297" s="3"/>
      <c r="AB297" s="3"/>
      <c r="AC297" s="3"/>
      <c r="AD297" s="3"/>
      <c r="AE297" s="3"/>
      <c r="AF297" s="3"/>
      <c r="AG297" s="3"/>
    </row>
    <row r="298">
      <c r="A298" s="22">
        <v>23.0</v>
      </c>
      <c r="B298" s="23">
        <f t="shared" si="59"/>
        <v>55.6</v>
      </c>
      <c r="C298" s="23">
        <f t="shared" si="60"/>
        <v>4.018183201</v>
      </c>
      <c r="D298" s="23">
        <f t="shared" si="61"/>
        <v>21.86650544</v>
      </c>
      <c r="E298" s="3"/>
      <c r="F298" s="3"/>
      <c r="G298" s="3"/>
      <c r="H298" s="3"/>
      <c r="I298" s="3"/>
      <c r="J298" s="3"/>
      <c r="K298" s="22">
        <v>23.0</v>
      </c>
      <c r="L298" s="23">
        <f t="shared" si="62"/>
        <v>22</v>
      </c>
      <c r="M298" s="23">
        <f t="shared" si="63"/>
        <v>3.091042453</v>
      </c>
      <c r="N298" s="23">
        <f t="shared" si="64"/>
        <v>21.86650544</v>
      </c>
      <c r="O298" s="3"/>
      <c r="P298" s="3"/>
      <c r="Q298" s="3"/>
      <c r="R298" s="3"/>
      <c r="S298" s="3"/>
      <c r="T298" s="3"/>
      <c r="U298" s="22">
        <v>23.0</v>
      </c>
      <c r="V298" s="23">
        <f t="shared" si="65"/>
        <v>5</v>
      </c>
      <c r="W298" s="23">
        <f t="shared" si="66"/>
        <v>1.609437912</v>
      </c>
      <c r="X298" s="23">
        <f t="shared" si="67"/>
        <v>21.86650544</v>
      </c>
      <c r="Y298" s="3"/>
      <c r="Z298" s="3"/>
      <c r="AA298" s="3"/>
      <c r="AB298" s="3"/>
      <c r="AC298" s="3"/>
      <c r="AD298" s="3"/>
      <c r="AE298" s="3"/>
      <c r="AF298" s="3"/>
      <c r="AG298" s="3"/>
    </row>
    <row r="299">
      <c r="A299" s="22">
        <v>24.0</v>
      </c>
      <c r="B299" s="23">
        <f t="shared" si="59"/>
        <v>61</v>
      </c>
      <c r="C299" s="23">
        <f t="shared" si="60"/>
        <v>4.110873864</v>
      </c>
      <c r="D299" s="23">
        <f t="shared" si="61"/>
        <v>20.81010317</v>
      </c>
      <c r="E299" s="3"/>
      <c r="F299" s="3"/>
      <c r="G299" s="3"/>
      <c r="H299" s="3"/>
      <c r="I299" s="3"/>
      <c r="J299" s="3"/>
      <c r="K299" s="22">
        <v>24.0</v>
      </c>
      <c r="L299" s="23">
        <f t="shared" si="62"/>
        <v>7</v>
      </c>
      <c r="M299" s="23">
        <f t="shared" si="63"/>
        <v>1.945910149</v>
      </c>
      <c r="N299" s="23">
        <f t="shared" si="64"/>
        <v>20.81010317</v>
      </c>
      <c r="O299" s="3"/>
      <c r="P299" s="3"/>
      <c r="Q299" s="3"/>
      <c r="R299" s="3"/>
      <c r="S299" s="3"/>
      <c r="T299" s="3"/>
      <c r="U299" s="22">
        <v>24.0</v>
      </c>
      <c r="V299" s="23">
        <f t="shared" si="65"/>
        <v>18</v>
      </c>
      <c r="W299" s="23">
        <f t="shared" si="66"/>
        <v>2.890371758</v>
      </c>
      <c r="X299" s="23">
        <f t="shared" si="67"/>
        <v>20.81010317</v>
      </c>
      <c r="Y299" s="3"/>
      <c r="Z299" s="3"/>
      <c r="AA299" s="3"/>
      <c r="AB299" s="3"/>
      <c r="AC299" s="3"/>
      <c r="AD299" s="3"/>
      <c r="AE299" s="3"/>
      <c r="AF299" s="3"/>
      <c r="AG299" s="3"/>
    </row>
    <row r="300">
      <c r="A300" s="22">
        <v>25.0</v>
      </c>
      <c r="B300" s="23">
        <f t="shared" si="59"/>
        <v>35.2</v>
      </c>
      <c r="C300" s="23">
        <f t="shared" si="60"/>
        <v>3.561046083</v>
      </c>
      <c r="D300" s="23">
        <f t="shared" si="61"/>
        <v>19.33806153</v>
      </c>
      <c r="E300" s="3"/>
      <c r="F300" s="3"/>
      <c r="G300" s="3"/>
      <c r="H300" s="3"/>
      <c r="I300" s="3"/>
      <c r="J300" s="3"/>
      <c r="K300" s="22">
        <v>25.0</v>
      </c>
      <c r="L300" s="23">
        <f t="shared" si="62"/>
        <v>1</v>
      </c>
      <c r="M300" s="23">
        <f t="shared" si="63"/>
        <v>0</v>
      </c>
      <c r="N300" s="23">
        <f t="shared" si="64"/>
        <v>19.33806153</v>
      </c>
      <c r="O300" s="3"/>
      <c r="P300" s="3"/>
      <c r="Q300" s="3"/>
      <c r="R300" s="3"/>
      <c r="S300" s="3"/>
      <c r="T300" s="3"/>
      <c r="U300" s="22">
        <v>25.0</v>
      </c>
      <c r="V300" s="23">
        <f t="shared" si="65"/>
        <v>39</v>
      </c>
      <c r="W300" s="23">
        <f t="shared" si="66"/>
        <v>3.663561646</v>
      </c>
      <c r="X300" s="23">
        <f t="shared" si="67"/>
        <v>19.33806153</v>
      </c>
      <c r="Y300" s="3"/>
      <c r="Z300" s="3"/>
      <c r="AA300" s="3"/>
      <c r="AB300" s="3"/>
      <c r="AC300" s="3"/>
      <c r="AD300" s="3"/>
      <c r="AE300" s="3"/>
      <c r="AF300" s="3"/>
      <c r="AG300" s="3"/>
    </row>
    <row r="301">
      <c r="A301" s="22">
        <v>26.0</v>
      </c>
      <c r="B301" s="23">
        <f t="shared" si="59"/>
        <v>34.9</v>
      </c>
      <c r="C301" s="23">
        <f t="shared" si="60"/>
        <v>3.552486829</v>
      </c>
      <c r="D301" s="23">
        <f t="shared" si="61"/>
        <v>19.68387243</v>
      </c>
      <c r="E301" s="3"/>
      <c r="F301" s="3"/>
      <c r="G301" s="3"/>
      <c r="H301" s="3"/>
      <c r="I301" s="3"/>
      <c r="J301" s="3"/>
      <c r="K301" s="22">
        <v>26.0</v>
      </c>
      <c r="L301" s="23">
        <f t="shared" si="62"/>
        <v>8</v>
      </c>
      <c r="M301" s="23">
        <f t="shared" si="63"/>
        <v>2.079441542</v>
      </c>
      <c r="N301" s="23">
        <f t="shared" si="64"/>
        <v>19.68387243</v>
      </c>
      <c r="O301" s="3"/>
      <c r="P301" s="3"/>
      <c r="Q301" s="3"/>
      <c r="R301" s="3"/>
      <c r="S301" s="3"/>
      <c r="T301" s="3"/>
      <c r="U301" s="22">
        <v>26.0</v>
      </c>
      <c r="V301" s="23">
        <f t="shared" si="65"/>
        <v>50</v>
      </c>
      <c r="W301" s="23">
        <f t="shared" si="66"/>
        <v>3.912023005</v>
      </c>
      <c r="X301" s="23">
        <f t="shared" si="67"/>
        <v>19.68387243</v>
      </c>
      <c r="Y301" s="3"/>
      <c r="Z301" s="3"/>
      <c r="AA301" s="3"/>
      <c r="AB301" s="3"/>
      <c r="AC301" s="3"/>
      <c r="AD301" s="3"/>
      <c r="AE301" s="3"/>
      <c r="AF301" s="3"/>
      <c r="AG301" s="3"/>
    </row>
    <row r="302">
      <c r="A302" s="22">
        <v>27.0</v>
      </c>
      <c r="B302" s="23">
        <f t="shared" si="59"/>
        <v>32</v>
      </c>
      <c r="C302" s="23">
        <f t="shared" si="60"/>
        <v>3.465735903</v>
      </c>
      <c r="D302" s="23">
        <f t="shared" si="61"/>
        <v>19.45197944</v>
      </c>
      <c r="E302" s="3"/>
      <c r="F302" s="3"/>
      <c r="G302" s="3"/>
      <c r="H302" s="3"/>
      <c r="I302" s="3"/>
      <c r="J302" s="3"/>
      <c r="K302" s="22">
        <v>27.0</v>
      </c>
      <c r="L302" s="23">
        <f t="shared" si="62"/>
        <v>2</v>
      </c>
      <c r="M302" s="23">
        <f t="shared" si="63"/>
        <v>0.6931471806</v>
      </c>
      <c r="N302" s="23">
        <f t="shared" si="64"/>
        <v>19.45197944</v>
      </c>
      <c r="O302" s="3"/>
      <c r="P302" s="3"/>
      <c r="Q302" s="3"/>
      <c r="R302" s="3"/>
      <c r="S302" s="3"/>
      <c r="T302" s="3"/>
      <c r="U302" s="22">
        <v>27.0</v>
      </c>
      <c r="V302" s="23">
        <f t="shared" si="65"/>
        <v>65</v>
      </c>
      <c r="W302" s="23">
        <f t="shared" si="66"/>
        <v>4.17438727</v>
      </c>
      <c r="X302" s="23">
        <f t="shared" si="67"/>
        <v>19.45197944</v>
      </c>
      <c r="Y302" s="3"/>
      <c r="Z302" s="3"/>
      <c r="AA302" s="3"/>
      <c r="AB302" s="3"/>
      <c r="AC302" s="3"/>
      <c r="AD302" s="3"/>
      <c r="AE302" s="3"/>
      <c r="AF302" s="3"/>
      <c r="AG302" s="3"/>
    </row>
    <row r="303">
      <c r="A303" s="22">
        <v>28.0</v>
      </c>
      <c r="B303" s="23">
        <f t="shared" si="59"/>
        <v>34.6</v>
      </c>
      <c r="C303" s="23">
        <f t="shared" si="60"/>
        <v>3.543853682</v>
      </c>
      <c r="D303" s="23">
        <f t="shared" si="61"/>
        <v>21.20149692</v>
      </c>
      <c r="E303" s="3"/>
      <c r="F303" s="3"/>
      <c r="G303" s="3"/>
      <c r="H303" s="3"/>
      <c r="I303" s="3"/>
      <c r="J303" s="3"/>
      <c r="K303" s="22">
        <v>28.0</v>
      </c>
      <c r="L303" s="23">
        <f t="shared" si="62"/>
        <v>9</v>
      </c>
      <c r="M303" s="23">
        <f t="shared" si="63"/>
        <v>2.197224577</v>
      </c>
      <c r="N303" s="23">
        <f t="shared" si="64"/>
        <v>21.20149692</v>
      </c>
      <c r="O303" s="3"/>
      <c r="P303" s="3"/>
      <c r="Q303" s="3"/>
      <c r="R303" s="3"/>
      <c r="S303" s="3"/>
      <c r="T303" s="3"/>
      <c r="U303" s="22">
        <v>28.0</v>
      </c>
      <c r="V303" s="23">
        <f t="shared" si="65"/>
        <v>3</v>
      </c>
      <c r="W303" s="23">
        <f t="shared" si="66"/>
        <v>1.098612289</v>
      </c>
      <c r="X303" s="23">
        <f t="shared" si="67"/>
        <v>21.20149692</v>
      </c>
      <c r="Y303" s="3"/>
      <c r="Z303" s="3"/>
      <c r="AA303" s="3"/>
      <c r="AB303" s="3"/>
      <c r="AC303" s="3"/>
      <c r="AD303" s="3"/>
      <c r="AE303" s="3"/>
      <c r="AF303" s="3"/>
      <c r="AG303" s="3"/>
    </row>
    <row r="304">
      <c r="A304" s="22">
        <v>29.0</v>
      </c>
      <c r="B304" s="23">
        <f t="shared" si="59"/>
        <v>44.9</v>
      </c>
      <c r="C304" s="23">
        <f t="shared" si="60"/>
        <v>3.804437795</v>
      </c>
      <c r="D304" s="23">
        <f t="shared" si="61"/>
        <v>22.04570279</v>
      </c>
      <c r="E304" s="3"/>
      <c r="F304" s="3"/>
      <c r="G304" s="3"/>
      <c r="H304" s="3"/>
      <c r="I304" s="3"/>
      <c r="J304" s="3"/>
      <c r="K304" s="22">
        <v>29.0</v>
      </c>
      <c r="L304" s="23">
        <f t="shared" si="62"/>
        <v>11</v>
      </c>
      <c r="M304" s="23">
        <f t="shared" si="63"/>
        <v>2.397895273</v>
      </c>
      <c r="N304" s="23">
        <f t="shared" si="64"/>
        <v>22.04570279</v>
      </c>
      <c r="O304" s="3"/>
      <c r="P304" s="3"/>
      <c r="Q304" s="3"/>
      <c r="R304" s="3"/>
      <c r="S304" s="3"/>
      <c r="T304" s="3"/>
      <c r="U304" s="22">
        <v>29.0</v>
      </c>
      <c r="V304" s="23">
        <f t="shared" si="65"/>
        <v>16</v>
      </c>
      <c r="W304" s="23">
        <f t="shared" si="66"/>
        <v>2.772588722</v>
      </c>
      <c r="X304" s="23">
        <f t="shared" si="67"/>
        <v>22.04570279</v>
      </c>
      <c r="Y304" s="3"/>
      <c r="Z304" s="3"/>
      <c r="AA304" s="3"/>
      <c r="AB304" s="3"/>
      <c r="AC304" s="3"/>
      <c r="AD304" s="3"/>
      <c r="AE304" s="3"/>
      <c r="AF304" s="3"/>
      <c r="AG304" s="3"/>
    </row>
    <row r="305">
      <c r="A305" s="22">
        <v>30.0</v>
      </c>
      <c r="B305" s="23">
        <f t="shared" si="59"/>
        <v>90.3</v>
      </c>
      <c r="C305" s="23">
        <f t="shared" si="60"/>
        <v>4.50313746</v>
      </c>
      <c r="D305" s="23">
        <f t="shared" si="61"/>
        <v>21.6797807</v>
      </c>
      <c r="E305" s="3"/>
      <c r="F305" s="3"/>
      <c r="G305" s="3"/>
      <c r="H305" s="3"/>
      <c r="I305" s="3"/>
      <c r="J305" s="3"/>
      <c r="K305" s="22">
        <v>30.0</v>
      </c>
      <c r="L305" s="23">
        <f t="shared" si="62"/>
        <v>16</v>
      </c>
      <c r="M305" s="23">
        <f t="shared" si="63"/>
        <v>2.772588722</v>
      </c>
      <c r="N305" s="23">
        <f t="shared" si="64"/>
        <v>21.6797807</v>
      </c>
      <c r="O305" s="3"/>
      <c r="P305" s="3"/>
      <c r="Q305" s="3"/>
      <c r="R305" s="3"/>
      <c r="S305" s="3"/>
      <c r="T305" s="3"/>
      <c r="U305" s="22">
        <v>30.0</v>
      </c>
      <c r="V305" s="23">
        <f t="shared" si="65"/>
        <v>1</v>
      </c>
      <c r="W305" s="23">
        <f t="shared" si="66"/>
        <v>0</v>
      </c>
      <c r="X305" s="23">
        <f t="shared" si="67"/>
        <v>21.6797807</v>
      </c>
      <c r="Y305" s="3"/>
      <c r="Z305" s="3"/>
      <c r="AA305" s="3"/>
      <c r="AB305" s="3"/>
      <c r="AC305" s="3"/>
      <c r="AD305" s="3"/>
      <c r="AE305" s="3"/>
      <c r="AF305" s="3"/>
      <c r="AG305" s="3"/>
    </row>
    <row r="306">
      <c r="A306" s="22">
        <v>31.0</v>
      </c>
      <c r="B306" s="23">
        <f t="shared" si="59"/>
        <v>26.1</v>
      </c>
      <c r="C306" s="23">
        <f t="shared" si="60"/>
        <v>3.261935314</v>
      </c>
      <c r="D306" s="23">
        <f t="shared" si="61"/>
        <v>22.41856714</v>
      </c>
      <c r="E306" s="3"/>
      <c r="F306" s="3"/>
      <c r="G306" s="3"/>
      <c r="H306" s="3"/>
      <c r="I306" s="3"/>
      <c r="J306" s="3"/>
      <c r="K306" s="22">
        <v>31.0</v>
      </c>
      <c r="L306" s="23">
        <f t="shared" si="62"/>
        <v>24</v>
      </c>
      <c r="M306" s="23">
        <f t="shared" si="63"/>
        <v>3.17805383</v>
      </c>
      <c r="N306" s="23">
        <f t="shared" si="64"/>
        <v>22.41856714</v>
      </c>
      <c r="O306" s="3"/>
      <c r="P306" s="3"/>
      <c r="Q306" s="3"/>
      <c r="R306" s="3"/>
      <c r="S306" s="3"/>
      <c r="T306" s="3"/>
      <c r="U306" s="22">
        <v>31.0</v>
      </c>
      <c r="V306" s="23">
        <f t="shared" si="65"/>
        <v>4</v>
      </c>
      <c r="W306" s="23">
        <f t="shared" si="66"/>
        <v>1.386294361</v>
      </c>
      <c r="X306" s="23">
        <f t="shared" si="67"/>
        <v>22.41856714</v>
      </c>
      <c r="Y306" s="3"/>
      <c r="Z306" s="3"/>
      <c r="AA306" s="3"/>
      <c r="AB306" s="3"/>
      <c r="AC306" s="3"/>
      <c r="AD306" s="3"/>
      <c r="AE306" s="3"/>
      <c r="AF306" s="3"/>
      <c r="AG306" s="3"/>
    </row>
    <row r="307">
      <c r="A307" s="22">
        <v>32.0</v>
      </c>
      <c r="B307" s="23">
        <f t="shared" si="59"/>
        <v>39.5</v>
      </c>
      <c r="C307" s="23">
        <f t="shared" si="60"/>
        <v>3.676300672</v>
      </c>
      <c r="D307" s="23">
        <f t="shared" si="61"/>
        <v>21.77001114</v>
      </c>
      <c r="E307" s="3"/>
      <c r="F307" s="3"/>
      <c r="G307" s="3"/>
      <c r="H307" s="3"/>
      <c r="I307" s="3"/>
      <c r="J307" s="3"/>
      <c r="K307" s="22">
        <v>32.0</v>
      </c>
      <c r="L307" s="23">
        <f t="shared" si="62"/>
        <v>18</v>
      </c>
      <c r="M307" s="23">
        <f t="shared" si="63"/>
        <v>2.890371758</v>
      </c>
      <c r="N307" s="23">
        <f t="shared" si="64"/>
        <v>21.77001114</v>
      </c>
      <c r="O307" s="3"/>
      <c r="P307" s="3"/>
      <c r="Q307" s="3"/>
      <c r="R307" s="3"/>
      <c r="S307" s="3"/>
      <c r="T307" s="3"/>
      <c r="U307" s="22">
        <v>32.0</v>
      </c>
      <c r="V307" s="23">
        <f t="shared" si="65"/>
        <v>5</v>
      </c>
      <c r="W307" s="23">
        <f t="shared" si="66"/>
        <v>1.609437912</v>
      </c>
      <c r="X307" s="23">
        <f t="shared" si="67"/>
        <v>21.77001114</v>
      </c>
      <c r="Y307" s="3"/>
      <c r="Z307" s="3"/>
      <c r="AA307" s="3"/>
      <c r="AB307" s="3"/>
      <c r="AC307" s="3"/>
      <c r="AD307" s="3"/>
      <c r="AE307" s="3"/>
      <c r="AF307" s="3"/>
      <c r="AG307" s="3"/>
    </row>
    <row r="308">
      <c r="A308" s="22">
        <v>33.0</v>
      </c>
      <c r="B308" s="23">
        <f t="shared" si="59"/>
        <v>68.4</v>
      </c>
      <c r="C308" s="23">
        <f t="shared" si="60"/>
        <v>4.225372825</v>
      </c>
      <c r="D308" s="23">
        <f t="shared" si="61"/>
        <v>21.20721562</v>
      </c>
      <c r="E308" s="3"/>
      <c r="F308" s="3"/>
      <c r="G308" s="3"/>
      <c r="H308" s="3"/>
      <c r="I308" s="3"/>
      <c r="J308" s="3"/>
      <c r="K308" s="22">
        <v>33.0</v>
      </c>
      <c r="L308" s="23">
        <f t="shared" si="62"/>
        <v>7</v>
      </c>
      <c r="M308" s="23">
        <f t="shared" si="63"/>
        <v>1.945910149</v>
      </c>
      <c r="N308" s="23">
        <f t="shared" si="64"/>
        <v>21.20721562</v>
      </c>
      <c r="O308" s="3"/>
      <c r="P308" s="3"/>
      <c r="Q308" s="3"/>
      <c r="R308" s="3"/>
      <c r="S308" s="3"/>
      <c r="T308" s="3"/>
      <c r="U308" s="22">
        <v>33.0</v>
      </c>
      <c r="V308" s="23">
        <f t="shared" si="65"/>
        <v>9</v>
      </c>
      <c r="W308" s="23">
        <f t="shared" si="66"/>
        <v>2.197224577</v>
      </c>
      <c r="X308" s="23">
        <f t="shared" si="67"/>
        <v>21.20721562</v>
      </c>
      <c r="Y308" s="3"/>
      <c r="Z308" s="3"/>
      <c r="AA308" s="3"/>
      <c r="AB308" s="3"/>
      <c r="AC308" s="3"/>
      <c r="AD308" s="3"/>
      <c r="AE308" s="3"/>
      <c r="AF308" s="3"/>
      <c r="AG308" s="3"/>
    </row>
    <row r="309">
      <c r="A309" s="22">
        <v>34.0</v>
      </c>
      <c r="B309" s="23">
        <f t="shared" si="59"/>
        <v>49.9</v>
      </c>
      <c r="C309" s="23">
        <f t="shared" si="60"/>
        <v>3.910021003</v>
      </c>
      <c r="D309" s="23">
        <f t="shared" si="61"/>
        <v>18.7504161</v>
      </c>
      <c r="E309" s="3"/>
      <c r="F309" s="3"/>
      <c r="G309" s="3"/>
      <c r="H309" s="3"/>
      <c r="I309" s="3"/>
      <c r="J309" s="3"/>
      <c r="K309" s="22">
        <v>34.0</v>
      </c>
      <c r="L309" s="23">
        <f t="shared" si="62"/>
        <v>5</v>
      </c>
      <c r="M309" s="23">
        <f t="shared" si="63"/>
        <v>1.609437912</v>
      </c>
      <c r="N309" s="23">
        <f t="shared" si="64"/>
        <v>18.7504161</v>
      </c>
      <c r="O309" s="3"/>
      <c r="P309" s="3"/>
      <c r="Q309" s="3"/>
      <c r="R309" s="3"/>
      <c r="S309" s="3"/>
      <c r="T309" s="3"/>
      <c r="U309" s="22">
        <v>34.0</v>
      </c>
      <c r="V309" s="23">
        <f t="shared" si="65"/>
        <v>57</v>
      </c>
      <c r="W309" s="23">
        <f t="shared" si="66"/>
        <v>4.043051268</v>
      </c>
      <c r="X309" s="23">
        <f t="shared" si="67"/>
        <v>18.7504161</v>
      </c>
      <c r="Y309" s="3"/>
      <c r="Z309" s="3"/>
      <c r="AA309" s="3"/>
      <c r="AB309" s="3"/>
      <c r="AC309" s="3"/>
      <c r="AD309" s="3"/>
      <c r="AE309" s="3"/>
      <c r="AF309" s="3"/>
      <c r="AG309" s="3"/>
    </row>
    <row r="310">
      <c r="A310" s="22">
        <v>35.0</v>
      </c>
      <c r="B310" s="23">
        <f t="shared" si="59"/>
        <v>57.1</v>
      </c>
      <c r="C310" s="23">
        <f t="shared" si="60"/>
        <v>4.044804117</v>
      </c>
      <c r="D310" s="23">
        <f t="shared" si="61"/>
        <v>17.81729114</v>
      </c>
      <c r="E310" s="3"/>
      <c r="F310" s="3"/>
      <c r="G310" s="3"/>
      <c r="H310" s="3"/>
      <c r="I310" s="3"/>
      <c r="J310" s="3"/>
      <c r="K310" s="22">
        <v>35.0</v>
      </c>
      <c r="L310" s="23">
        <f t="shared" si="62"/>
        <v>2</v>
      </c>
      <c r="M310" s="23">
        <f t="shared" si="63"/>
        <v>0.6931471806</v>
      </c>
      <c r="N310" s="23">
        <f t="shared" si="64"/>
        <v>17.81729114</v>
      </c>
      <c r="O310" s="3"/>
      <c r="P310" s="3"/>
      <c r="Q310" s="3"/>
      <c r="R310" s="3"/>
      <c r="S310" s="3"/>
      <c r="T310" s="3"/>
      <c r="U310" s="22">
        <v>35.0</v>
      </c>
      <c r="V310" s="23">
        <f t="shared" si="65"/>
        <v>2</v>
      </c>
      <c r="W310" s="23">
        <f t="shared" si="66"/>
        <v>0.6931471806</v>
      </c>
      <c r="X310" s="23">
        <f t="shared" si="67"/>
        <v>17.81729114</v>
      </c>
      <c r="Y310" s="3"/>
      <c r="Z310" s="3"/>
      <c r="AA310" s="3"/>
      <c r="AB310" s="3"/>
      <c r="AC310" s="3"/>
      <c r="AD310" s="3"/>
      <c r="AE310" s="3"/>
      <c r="AF310" s="3"/>
      <c r="AG310" s="3"/>
    </row>
    <row r="311">
      <c r="A311" s="22">
        <v>36.0</v>
      </c>
      <c r="B311" s="23">
        <f t="shared" si="59"/>
        <v>37.5</v>
      </c>
      <c r="C311" s="23">
        <f t="shared" si="60"/>
        <v>3.624340933</v>
      </c>
      <c r="D311" s="23">
        <f t="shared" si="61"/>
        <v>22.78667622</v>
      </c>
      <c r="E311" s="3"/>
      <c r="F311" s="3"/>
      <c r="G311" s="3"/>
      <c r="H311" s="3"/>
      <c r="I311" s="3"/>
      <c r="J311" s="3"/>
      <c r="K311" s="22">
        <v>36.0</v>
      </c>
      <c r="L311" s="23">
        <f t="shared" si="62"/>
        <v>24</v>
      </c>
      <c r="M311" s="23">
        <f t="shared" si="63"/>
        <v>3.17805383</v>
      </c>
      <c r="N311" s="23">
        <f t="shared" si="64"/>
        <v>22.78667622</v>
      </c>
      <c r="O311" s="3"/>
      <c r="P311" s="3"/>
      <c r="Q311" s="3"/>
      <c r="R311" s="3"/>
      <c r="S311" s="3"/>
      <c r="T311" s="3"/>
      <c r="U311" s="22">
        <v>36.0</v>
      </c>
      <c r="V311" s="23">
        <f t="shared" si="65"/>
        <v>1</v>
      </c>
      <c r="W311" s="23">
        <f t="shared" si="66"/>
        <v>0</v>
      </c>
      <c r="X311" s="23">
        <f t="shared" si="67"/>
        <v>22.78667622</v>
      </c>
      <c r="Y311" s="3"/>
      <c r="Z311" s="3"/>
      <c r="AA311" s="3"/>
      <c r="AB311" s="3"/>
      <c r="AC311" s="3"/>
      <c r="AD311" s="3"/>
      <c r="AE311" s="3"/>
      <c r="AF311" s="3"/>
      <c r="AG311" s="3"/>
    </row>
    <row r="312">
      <c r="A312" s="22">
        <v>37.0</v>
      </c>
      <c r="B312" s="23">
        <f t="shared" si="59"/>
        <v>60</v>
      </c>
      <c r="C312" s="23">
        <f t="shared" si="60"/>
        <v>4.094344562</v>
      </c>
      <c r="D312" s="23">
        <f t="shared" si="61"/>
        <v>20.97831261</v>
      </c>
      <c r="E312" s="3"/>
      <c r="F312" s="3"/>
      <c r="G312" s="3"/>
      <c r="H312" s="3"/>
      <c r="I312" s="3"/>
      <c r="J312" s="3"/>
      <c r="K312" s="22">
        <v>37.0</v>
      </c>
      <c r="L312" s="23">
        <f t="shared" si="62"/>
        <v>2</v>
      </c>
      <c r="M312" s="23">
        <f t="shared" si="63"/>
        <v>0.6931471806</v>
      </c>
      <c r="N312" s="23">
        <f t="shared" si="64"/>
        <v>20.97831261</v>
      </c>
      <c r="O312" s="3"/>
      <c r="P312" s="3"/>
      <c r="Q312" s="3"/>
      <c r="R312" s="3"/>
      <c r="S312" s="3"/>
      <c r="T312" s="3"/>
      <c r="U312" s="22">
        <v>37.0</v>
      </c>
      <c r="V312" s="23">
        <f t="shared" si="65"/>
        <v>1</v>
      </c>
      <c r="W312" s="23">
        <f t="shared" si="66"/>
        <v>0</v>
      </c>
      <c r="X312" s="23">
        <f t="shared" si="67"/>
        <v>20.97831261</v>
      </c>
      <c r="Y312" s="3"/>
      <c r="Z312" s="3"/>
      <c r="AA312" s="3"/>
      <c r="AB312" s="3"/>
      <c r="AC312" s="3"/>
      <c r="AD312" s="3"/>
      <c r="AE312" s="3"/>
      <c r="AF312" s="3"/>
      <c r="AG312" s="3"/>
    </row>
    <row r="313">
      <c r="A313" s="22">
        <v>38.0</v>
      </c>
      <c r="B313" s="23">
        <f t="shared" si="59"/>
        <v>30.3</v>
      </c>
      <c r="C313" s="23">
        <f t="shared" si="60"/>
        <v>3.411147713</v>
      </c>
      <c r="D313" s="23">
        <f t="shared" si="61"/>
        <v>19.47626328</v>
      </c>
      <c r="E313" s="3"/>
      <c r="F313" s="3"/>
      <c r="G313" s="3"/>
      <c r="H313" s="3"/>
      <c r="I313" s="3"/>
      <c r="J313" s="3"/>
      <c r="K313" s="22">
        <v>38.0</v>
      </c>
      <c r="L313" s="23">
        <f t="shared" si="62"/>
        <v>1</v>
      </c>
      <c r="M313" s="23">
        <f t="shared" si="63"/>
        <v>0</v>
      </c>
      <c r="N313" s="23">
        <f t="shared" si="64"/>
        <v>19.47626328</v>
      </c>
      <c r="O313" s="3"/>
      <c r="P313" s="3"/>
      <c r="Q313" s="3"/>
      <c r="R313" s="3"/>
      <c r="S313" s="3"/>
      <c r="T313" s="3"/>
      <c r="U313" s="22">
        <v>38.0</v>
      </c>
      <c r="V313" s="23">
        <f t="shared" si="65"/>
        <v>65</v>
      </c>
      <c r="W313" s="23">
        <f t="shared" si="66"/>
        <v>4.17438727</v>
      </c>
      <c r="X313" s="23">
        <f t="shared" si="67"/>
        <v>19.47626328</v>
      </c>
      <c r="Y313" s="3"/>
      <c r="Z313" s="3"/>
      <c r="AA313" s="3"/>
      <c r="AB313" s="3"/>
      <c r="AC313" s="3"/>
      <c r="AD313" s="3"/>
      <c r="AE313" s="3"/>
      <c r="AF313" s="3"/>
      <c r="AG313" s="3"/>
    </row>
    <row r="314">
      <c r="A314" s="22">
        <v>39.0</v>
      </c>
      <c r="B314" s="23">
        <f t="shared" si="59"/>
        <v>33.3</v>
      </c>
      <c r="C314" s="23">
        <f t="shared" si="60"/>
        <v>3.505557397</v>
      </c>
      <c r="D314" s="23">
        <f t="shared" si="61"/>
        <v>17.05654165</v>
      </c>
      <c r="E314" s="3"/>
      <c r="F314" s="3"/>
      <c r="G314" s="3"/>
      <c r="H314" s="3"/>
      <c r="I314" s="3"/>
      <c r="J314" s="3"/>
      <c r="K314" s="22">
        <v>39.0</v>
      </c>
      <c r="L314" s="23">
        <f t="shared" si="62"/>
        <v>5</v>
      </c>
      <c r="M314" s="23">
        <f t="shared" si="63"/>
        <v>1.609437912</v>
      </c>
      <c r="N314" s="23">
        <f t="shared" si="64"/>
        <v>17.05654165</v>
      </c>
      <c r="O314" s="3"/>
      <c r="P314" s="3"/>
      <c r="Q314" s="3"/>
      <c r="R314" s="3"/>
      <c r="S314" s="3"/>
      <c r="T314" s="3"/>
      <c r="U314" s="22">
        <v>39.0</v>
      </c>
      <c r="V314" s="23">
        <f t="shared" si="65"/>
        <v>52</v>
      </c>
      <c r="W314" s="23">
        <f t="shared" si="66"/>
        <v>3.951243719</v>
      </c>
      <c r="X314" s="23">
        <f t="shared" si="67"/>
        <v>17.05654165</v>
      </c>
      <c r="Y314" s="3"/>
      <c r="Z314" s="3"/>
      <c r="AA314" s="3"/>
      <c r="AB314" s="3"/>
      <c r="AC314" s="3"/>
      <c r="AD314" s="3"/>
      <c r="AE314" s="3"/>
      <c r="AF314" s="3"/>
      <c r="AG314" s="3"/>
    </row>
    <row r="315">
      <c r="A315" s="22">
        <v>40.0</v>
      </c>
      <c r="B315" s="23">
        <f t="shared" si="59"/>
        <v>58.9</v>
      </c>
      <c r="C315" s="23">
        <f t="shared" si="60"/>
        <v>4.075841091</v>
      </c>
      <c r="D315" s="23">
        <f t="shared" si="61"/>
        <v>21.79163568</v>
      </c>
      <c r="E315" s="3"/>
      <c r="F315" s="3"/>
      <c r="G315" s="3"/>
      <c r="H315" s="3"/>
      <c r="I315" s="3"/>
      <c r="J315" s="3"/>
      <c r="K315" s="22">
        <v>40.0</v>
      </c>
      <c r="L315" s="23">
        <f t="shared" si="62"/>
        <v>10</v>
      </c>
      <c r="M315" s="23">
        <f t="shared" si="63"/>
        <v>2.302585093</v>
      </c>
      <c r="N315" s="23">
        <f t="shared" si="64"/>
        <v>21.79163568</v>
      </c>
      <c r="O315" s="3"/>
      <c r="P315" s="3"/>
      <c r="Q315" s="3"/>
      <c r="R315" s="3"/>
      <c r="S315" s="3"/>
      <c r="T315" s="3"/>
      <c r="U315" s="22">
        <v>40.0</v>
      </c>
      <c r="V315" s="23">
        <f t="shared" si="65"/>
        <v>4</v>
      </c>
      <c r="W315" s="23">
        <f t="shared" si="66"/>
        <v>1.386294361</v>
      </c>
      <c r="X315" s="23">
        <f t="shared" si="67"/>
        <v>21.79163568</v>
      </c>
      <c r="Y315" s="3"/>
      <c r="Z315" s="3"/>
      <c r="AA315" s="3"/>
      <c r="AB315" s="3"/>
      <c r="AC315" s="3"/>
      <c r="AD315" s="3"/>
      <c r="AE315" s="3"/>
      <c r="AF315" s="3"/>
      <c r="AG315" s="3"/>
    </row>
    <row r="316">
      <c r="A316" s="22">
        <v>41.0</v>
      </c>
      <c r="B316" s="23">
        <f t="shared" si="59"/>
        <v>49.8</v>
      </c>
      <c r="C316" s="23">
        <f t="shared" si="60"/>
        <v>3.908014984</v>
      </c>
      <c r="D316" s="23">
        <f t="shared" si="61"/>
        <v>9.062591871</v>
      </c>
      <c r="E316" s="3"/>
      <c r="F316" s="3"/>
      <c r="G316" s="3"/>
      <c r="H316" s="3"/>
      <c r="I316" s="3"/>
      <c r="J316" s="3"/>
      <c r="K316" s="22">
        <v>41.0</v>
      </c>
      <c r="L316" s="23">
        <f t="shared" si="62"/>
        <v>2</v>
      </c>
      <c r="M316" s="23">
        <f t="shared" si="63"/>
        <v>0.6931471806</v>
      </c>
      <c r="N316" s="23">
        <f t="shared" si="64"/>
        <v>9.062591871</v>
      </c>
      <c r="O316" s="3"/>
      <c r="P316" s="3"/>
      <c r="Q316" s="3"/>
      <c r="R316" s="3"/>
      <c r="S316" s="3"/>
      <c r="T316" s="3"/>
      <c r="U316" s="22">
        <v>41.0</v>
      </c>
      <c r="V316" s="23">
        <f t="shared" si="65"/>
        <v>36</v>
      </c>
      <c r="W316" s="23">
        <f t="shared" si="66"/>
        <v>3.583518938</v>
      </c>
      <c r="X316" s="23">
        <f t="shared" si="67"/>
        <v>9.062591871</v>
      </c>
      <c r="Y316" s="3"/>
      <c r="Z316" s="3"/>
      <c r="AA316" s="3"/>
      <c r="AB316" s="3"/>
      <c r="AC316" s="3"/>
      <c r="AD316" s="3"/>
      <c r="AE316" s="3"/>
      <c r="AF316" s="3"/>
      <c r="AG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>
      <c r="A320" s="5" t="s">
        <v>6</v>
      </c>
      <c r="B320" s="3"/>
      <c r="C320" s="3"/>
      <c r="D320" s="3"/>
      <c r="E320" s="3"/>
      <c r="F320" s="3"/>
      <c r="G320" s="3"/>
      <c r="H320" s="3"/>
      <c r="I320" s="3"/>
      <c r="J320" s="3"/>
      <c r="K320" s="5" t="s">
        <v>6</v>
      </c>
      <c r="L320" s="3"/>
      <c r="M320" s="3"/>
      <c r="N320" s="3"/>
      <c r="O320" s="3"/>
      <c r="P320" s="3"/>
      <c r="Q320" s="3"/>
      <c r="R320" s="3"/>
      <c r="S320" s="3"/>
      <c r="T320" s="3"/>
      <c r="U320" s="5" t="s">
        <v>6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>
      <c r="A322" s="77" t="s">
        <v>58</v>
      </c>
      <c r="B322" s="9"/>
      <c r="C322" s="3"/>
      <c r="D322" s="3"/>
      <c r="E322" s="3"/>
      <c r="F322" s="3"/>
      <c r="G322" s="3"/>
      <c r="H322" s="3"/>
      <c r="I322" s="3"/>
      <c r="J322" s="3"/>
      <c r="K322" s="77" t="s">
        <v>58</v>
      </c>
      <c r="L322" s="9"/>
      <c r="M322" s="3"/>
      <c r="N322" s="3"/>
      <c r="O322" s="3"/>
      <c r="P322" s="3"/>
      <c r="Q322" s="3"/>
      <c r="R322" s="3"/>
      <c r="S322" s="3"/>
      <c r="T322" s="3"/>
      <c r="U322" s="77" t="s">
        <v>58</v>
      </c>
      <c r="V322" s="9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>
      <c r="A323" s="5" t="s">
        <v>8</v>
      </c>
      <c r="B323" s="78">
        <v>0.17099106133220912</v>
      </c>
      <c r="C323" s="3"/>
      <c r="D323" s="3"/>
      <c r="E323" s="3"/>
      <c r="F323" s="3"/>
      <c r="G323" s="3"/>
      <c r="H323" s="3"/>
      <c r="I323" s="3"/>
      <c r="J323" s="3"/>
      <c r="K323" s="5" t="s">
        <v>8</v>
      </c>
      <c r="L323" s="78">
        <v>0.4540970489917134</v>
      </c>
      <c r="M323" s="3"/>
      <c r="N323" s="3"/>
      <c r="O323" s="3"/>
      <c r="P323" s="3"/>
      <c r="Q323" s="3"/>
      <c r="R323" s="3"/>
      <c r="S323" s="3"/>
      <c r="T323" s="3"/>
      <c r="U323" s="5" t="s">
        <v>8</v>
      </c>
      <c r="V323" s="78">
        <v>0.4512638289091678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>
      <c r="A324" s="5" t="s">
        <v>9</v>
      </c>
      <c r="B324" s="78">
        <v>0.029237943055515303</v>
      </c>
      <c r="C324" s="3"/>
      <c r="D324" s="3"/>
      <c r="E324" s="3"/>
      <c r="F324" s="3"/>
      <c r="G324" s="3"/>
      <c r="H324" s="3"/>
      <c r="I324" s="3"/>
      <c r="J324" s="3"/>
      <c r="K324" s="5" t="s">
        <v>9</v>
      </c>
      <c r="L324" s="78">
        <v>0.20620412990298254</v>
      </c>
      <c r="M324" s="3"/>
      <c r="N324" s="3"/>
      <c r="O324" s="3"/>
      <c r="P324" s="3"/>
      <c r="Q324" s="3"/>
      <c r="R324" s="3"/>
      <c r="S324" s="3"/>
      <c r="T324" s="3"/>
      <c r="U324" s="5" t="s">
        <v>9</v>
      </c>
      <c r="V324" s="78">
        <v>0.20363904328176263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>
      <c r="A325" s="5" t="s">
        <v>10</v>
      </c>
      <c r="B325" s="78">
        <v>0.00434660826206712</v>
      </c>
      <c r="C325" s="3"/>
      <c r="D325" s="3"/>
      <c r="E325" s="3"/>
      <c r="F325" s="3"/>
      <c r="G325" s="3"/>
      <c r="H325" s="3"/>
      <c r="I325" s="3"/>
      <c r="J325" s="3"/>
      <c r="K325" s="5" t="s">
        <v>10</v>
      </c>
      <c r="L325" s="78">
        <v>0.18585038964408473</v>
      </c>
      <c r="M325" s="3"/>
      <c r="N325" s="3"/>
      <c r="O325" s="3"/>
      <c r="P325" s="3"/>
      <c r="Q325" s="3"/>
      <c r="R325" s="3"/>
      <c r="S325" s="3"/>
      <c r="T325" s="3"/>
      <c r="U325" s="5" t="s">
        <v>10</v>
      </c>
      <c r="V325" s="78">
        <v>0.18321953157103865</v>
      </c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>
      <c r="A326" s="5" t="s">
        <v>11</v>
      </c>
      <c r="B326" s="78">
        <v>3.325444093936705</v>
      </c>
      <c r="C326" s="3"/>
      <c r="D326" s="3"/>
      <c r="E326" s="3"/>
      <c r="F326" s="3"/>
      <c r="G326" s="3"/>
      <c r="H326" s="3"/>
      <c r="I326" s="3"/>
      <c r="J326" s="3"/>
      <c r="K326" s="5" t="s">
        <v>11</v>
      </c>
      <c r="L326" s="78">
        <v>3.007098624305422</v>
      </c>
      <c r="M326" s="3"/>
      <c r="N326" s="3"/>
      <c r="O326" s="3"/>
      <c r="P326" s="3"/>
      <c r="Q326" s="3"/>
      <c r="R326" s="3"/>
      <c r="S326" s="3"/>
      <c r="T326" s="3"/>
      <c r="U326" s="5" t="s">
        <v>11</v>
      </c>
      <c r="V326" s="78">
        <v>3.011953302584149</v>
      </c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>
      <c r="A327" s="79" t="s">
        <v>12</v>
      </c>
      <c r="B327" s="80">
        <v>41.0</v>
      </c>
      <c r="C327" s="3"/>
      <c r="D327" s="3"/>
      <c r="E327" s="3"/>
      <c r="F327" s="3"/>
      <c r="G327" s="3"/>
      <c r="H327" s="3"/>
      <c r="I327" s="3"/>
      <c r="J327" s="3"/>
      <c r="K327" s="79" t="s">
        <v>12</v>
      </c>
      <c r="L327" s="80">
        <v>41.0</v>
      </c>
      <c r="M327" s="3"/>
      <c r="N327" s="3"/>
      <c r="O327" s="3"/>
      <c r="P327" s="3"/>
      <c r="Q327" s="3"/>
      <c r="R327" s="3"/>
      <c r="S327" s="3"/>
      <c r="T327" s="3"/>
      <c r="U327" s="79" t="s">
        <v>12</v>
      </c>
      <c r="V327" s="80">
        <v>41.0</v>
      </c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>
      <c r="A329" s="5" t="s">
        <v>13</v>
      </c>
      <c r="B329" s="3"/>
      <c r="C329" s="3"/>
      <c r="D329" s="3"/>
      <c r="E329" s="3"/>
      <c r="F329" s="3"/>
      <c r="G329" s="3"/>
      <c r="H329" s="3"/>
      <c r="I329" s="3"/>
      <c r="J329" s="3"/>
      <c r="K329" s="5" t="s">
        <v>13</v>
      </c>
      <c r="L329" s="3"/>
      <c r="M329" s="3"/>
      <c r="N329" s="3"/>
      <c r="O329" s="3"/>
      <c r="P329" s="3"/>
      <c r="Q329" s="3"/>
      <c r="R329" s="3"/>
      <c r="S329" s="3"/>
      <c r="T329" s="3"/>
      <c r="U329" s="5" t="s">
        <v>13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>
      <c r="A330" s="9"/>
      <c r="B330" s="77" t="s">
        <v>14</v>
      </c>
      <c r="C330" s="77" t="s">
        <v>15</v>
      </c>
      <c r="D330" s="77" t="s">
        <v>16</v>
      </c>
      <c r="E330" s="77" t="s">
        <v>17</v>
      </c>
      <c r="F330" s="77" t="s">
        <v>18</v>
      </c>
      <c r="G330" s="3"/>
      <c r="H330" s="3"/>
      <c r="I330" s="3"/>
      <c r="J330" s="3"/>
      <c r="K330" s="9"/>
      <c r="L330" s="77" t="s">
        <v>14</v>
      </c>
      <c r="M330" s="77" t="s">
        <v>15</v>
      </c>
      <c r="N330" s="77" t="s">
        <v>16</v>
      </c>
      <c r="O330" s="77" t="s">
        <v>17</v>
      </c>
      <c r="P330" s="77" t="s">
        <v>18</v>
      </c>
      <c r="Q330" s="3"/>
      <c r="R330" s="3"/>
      <c r="S330" s="3"/>
      <c r="T330" s="3"/>
      <c r="U330" s="9"/>
      <c r="V330" s="77" t="s">
        <v>14</v>
      </c>
      <c r="W330" s="77" t="s">
        <v>15</v>
      </c>
      <c r="X330" s="77" t="s">
        <v>16</v>
      </c>
      <c r="Y330" s="77" t="s">
        <v>17</v>
      </c>
      <c r="Z330" s="77" t="s">
        <v>18</v>
      </c>
      <c r="AA330" s="3"/>
      <c r="AB330" s="3"/>
      <c r="AC330" s="3"/>
      <c r="AD330" s="3"/>
      <c r="AE330" s="3"/>
      <c r="AF330" s="3"/>
      <c r="AG330" s="3"/>
    </row>
    <row r="331">
      <c r="A331" s="5" t="s">
        <v>19</v>
      </c>
      <c r="B331" s="78">
        <v>1.0</v>
      </c>
      <c r="C331" s="78">
        <v>12.989664429708398</v>
      </c>
      <c r="D331" s="78">
        <v>12.989664429708398</v>
      </c>
      <c r="E331" s="78">
        <v>1.174623349777571</v>
      </c>
      <c r="F331" s="78">
        <v>0.28510829415764505</v>
      </c>
      <c r="G331" s="3"/>
      <c r="H331" s="3"/>
      <c r="I331" s="3"/>
      <c r="J331" s="3"/>
      <c r="K331" s="5" t="s">
        <v>19</v>
      </c>
      <c r="L331" s="78">
        <v>1.0</v>
      </c>
      <c r="M331" s="78">
        <v>91.61117956806748</v>
      </c>
      <c r="N331" s="78">
        <v>91.61117956806748</v>
      </c>
      <c r="O331" s="78">
        <v>10.131019030413238</v>
      </c>
      <c r="P331" s="78">
        <v>0.0028615104438952654</v>
      </c>
      <c r="Q331" s="3"/>
      <c r="R331" s="3"/>
      <c r="S331" s="3"/>
      <c r="T331" s="3"/>
      <c r="U331" s="5" t="s">
        <v>19</v>
      </c>
      <c r="V331" s="78">
        <v>1.0</v>
      </c>
      <c r="W331" s="78">
        <v>90.47157770279551</v>
      </c>
      <c r="X331" s="78">
        <v>90.47157770279551</v>
      </c>
      <c r="Y331" s="78">
        <v>9.972767525817687</v>
      </c>
      <c r="Z331" s="78">
        <v>0.003063174189475326</v>
      </c>
      <c r="AA331" s="3"/>
      <c r="AB331" s="3"/>
      <c r="AC331" s="3"/>
      <c r="AD331" s="3"/>
      <c r="AE331" s="3"/>
      <c r="AF331" s="3"/>
      <c r="AG331" s="3"/>
    </row>
    <row r="332">
      <c r="A332" s="5" t="s">
        <v>20</v>
      </c>
      <c r="B332" s="78">
        <v>39.0</v>
      </c>
      <c r="C332" s="78">
        <v>431.28455845404204</v>
      </c>
      <c r="D332" s="78">
        <v>11.058578421898513</v>
      </c>
      <c r="E332" s="3"/>
      <c r="F332" s="3"/>
      <c r="G332" s="3"/>
      <c r="H332" s="3"/>
      <c r="I332" s="3"/>
      <c r="J332" s="3"/>
      <c r="K332" s="5" t="s">
        <v>20</v>
      </c>
      <c r="L332" s="78">
        <v>39.0</v>
      </c>
      <c r="M332" s="78">
        <v>352.66304331568296</v>
      </c>
      <c r="N332" s="78">
        <v>9.042642136299563</v>
      </c>
      <c r="O332" s="3"/>
      <c r="P332" s="3"/>
      <c r="Q332" s="3"/>
      <c r="R332" s="3"/>
      <c r="S332" s="3"/>
      <c r="T332" s="3"/>
      <c r="U332" s="5" t="s">
        <v>20</v>
      </c>
      <c r="V332" s="78">
        <v>39.0</v>
      </c>
      <c r="W332" s="78">
        <v>353.8026451809549</v>
      </c>
      <c r="X332" s="78">
        <v>9.071862696947562</v>
      </c>
      <c r="Y332" s="3"/>
      <c r="Z332" s="3"/>
      <c r="AA332" s="3"/>
      <c r="AB332" s="3"/>
      <c r="AC332" s="3"/>
      <c r="AD332" s="3"/>
      <c r="AE332" s="3"/>
      <c r="AF332" s="3"/>
      <c r="AG332" s="3"/>
    </row>
    <row r="333">
      <c r="A333" s="79" t="s">
        <v>21</v>
      </c>
      <c r="B333" s="80">
        <v>40.0</v>
      </c>
      <c r="C333" s="80">
        <v>444.27422288375044</v>
      </c>
      <c r="D333" s="12"/>
      <c r="E333" s="12"/>
      <c r="F333" s="12"/>
      <c r="G333" s="3"/>
      <c r="H333" s="3"/>
      <c r="I333" s="3"/>
      <c r="J333" s="3"/>
      <c r="K333" s="79" t="s">
        <v>21</v>
      </c>
      <c r="L333" s="80">
        <v>40.0</v>
      </c>
      <c r="M333" s="80">
        <v>444.27422288375044</v>
      </c>
      <c r="N333" s="12"/>
      <c r="O333" s="12"/>
      <c r="P333" s="12"/>
      <c r="Q333" s="3"/>
      <c r="R333" s="3"/>
      <c r="S333" s="3"/>
      <c r="T333" s="3"/>
      <c r="U333" s="79" t="s">
        <v>21</v>
      </c>
      <c r="V333" s="80">
        <v>40.0</v>
      </c>
      <c r="W333" s="80">
        <v>444.27422288375044</v>
      </c>
      <c r="X333" s="12"/>
      <c r="Y333" s="12"/>
      <c r="Z333" s="12"/>
      <c r="AA333" s="3"/>
      <c r="AB333" s="3"/>
      <c r="AC333" s="3"/>
      <c r="AD333" s="3"/>
      <c r="AE333" s="3"/>
      <c r="AF333" s="3"/>
      <c r="AG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>
      <c r="A335" s="9"/>
      <c r="B335" s="77" t="s">
        <v>22</v>
      </c>
      <c r="C335" s="77" t="s">
        <v>11</v>
      </c>
      <c r="D335" s="77" t="s">
        <v>23</v>
      </c>
      <c r="E335" s="77" t="s">
        <v>24</v>
      </c>
      <c r="F335" s="77" t="s">
        <v>25</v>
      </c>
      <c r="G335" s="77" t="s">
        <v>26</v>
      </c>
      <c r="H335" s="77" t="s">
        <v>25</v>
      </c>
      <c r="I335" s="77" t="s">
        <v>26</v>
      </c>
      <c r="J335" s="3"/>
      <c r="K335" s="9"/>
      <c r="L335" s="77" t="s">
        <v>22</v>
      </c>
      <c r="M335" s="77" t="s">
        <v>11</v>
      </c>
      <c r="N335" s="77" t="s">
        <v>23</v>
      </c>
      <c r="O335" s="77" t="s">
        <v>24</v>
      </c>
      <c r="P335" s="77" t="s">
        <v>25</v>
      </c>
      <c r="Q335" s="77" t="s">
        <v>26</v>
      </c>
      <c r="R335" s="77" t="s">
        <v>25</v>
      </c>
      <c r="S335" s="77" t="s">
        <v>26</v>
      </c>
      <c r="T335" s="3"/>
      <c r="U335" s="9"/>
      <c r="V335" s="77" t="s">
        <v>22</v>
      </c>
      <c r="W335" s="77" t="s">
        <v>11</v>
      </c>
      <c r="X335" s="77" t="s">
        <v>23</v>
      </c>
      <c r="Y335" s="77" t="s">
        <v>24</v>
      </c>
      <c r="Z335" s="77" t="s">
        <v>25</v>
      </c>
      <c r="AA335" s="77" t="s">
        <v>26</v>
      </c>
      <c r="AB335" s="77" t="s">
        <v>25</v>
      </c>
      <c r="AC335" s="77" t="s">
        <v>26</v>
      </c>
      <c r="AD335" s="3"/>
      <c r="AE335" s="3"/>
      <c r="AF335" s="3"/>
      <c r="AG335" s="3"/>
    </row>
    <row r="336">
      <c r="A336" s="5" t="s">
        <v>27</v>
      </c>
      <c r="B336" s="78">
        <v>14.704893423324847</v>
      </c>
      <c r="C336" s="78">
        <v>4.846817736504557</v>
      </c>
      <c r="D336" s="78">
        <v>3.033927459778954</v>
      </c>
      <c r="E336" s="78">
        <v>0.004281204236317974</v>
      </c>
      <c r="F336" s="78">
        <v>4.901279287572695</v>
      </c>
      <c r="G336" s="78">
        <v>24.508507559077</v>
      </c>
      <c r="H336" s="78">
        <v>4.901279287572695</v>
      </c>
      <c r="I336" s="78">
        <v>24.508507559077</v>
      </c>
      <c r="J336" s="3"/>
      <c r="K336" s="5" t="s">
        <v>27</v>
      </c>
      <c r="L336" s="78">
        <v>16.962537915856487</v>
      </c>
      <c r="M336" s="78">
        <v>1.0432455496617647</v>
      </c>
      <c r="N336" s="78">
        <v>16.259391589406718</v>
      </c>
      <c r="O336" s="78">
        <v>5.745258033194924E-19</v>
      </c>
      <c r="P336" s="78">
        <v>14.852374634762992</v>
      </c>
      <c r="Q336" s="78">
        <v>19.072701196949982</v>
      </c>
      <c r="R336" s="78">
        <v>14.852374634762992</v>
      </c>
      <c r="S336" s="78">
        <v>19.072701196949982</v>
      </c>
      <c r="T336" s="3"/>
      <c r="U336" s="5" t="s">
        <v>27</v>
      </c>
      <c r="V336" s="78">
        <v>22.053530505199127</v>
      </c>
      <c r="W336" s="78">
        <v>0.8212447947892757</v>
      </c>
      <c r="X336" s="78">
        <v>26.853784212851995</v>
      </c>
      <c r="Y336" s="78">
        <v>9.182991300973247E-27</v>
      </c>
      <c r="Z336" s="78">
        <v>20.39240613106176</v>
      </c>
      <c r="AA336" s="78">
        <v>23.714654879336493</v>
      </c>
      <c r="AB336" s="78">
        <v>20.39240613106176</v>
      </c>
      <c r="AC336" s="78">
        <v>23.714654879336493</v>
      </c>
      <c r="AD336" s="3"/>
      <c r="AE336" s="3"/>
      <c r="AF336" s="3"/>
      <c r="AG336" s="3"/>
    </row>
    <row r="337">
      <c r="A337" s="79" t="s">
        <v>82</v>
      </c>
      <c r="B337" s="80">
        <v>1.3015640509660216</v>
      </c>
      <c r="C337" s="80">
        <v>1.2009259521290476</v>
      </c>
      <c r="D337" s="80">
        <v>1.0838004197166018</v>
      </c>
      <c r="E337" s="80">
        <v>0.2851082985475335</v>
      </c>
      <c r="F337" s="80">
        <v>-1.1275379455069738</v>
      </c>
      <c r="G337" s="80">
        <v>3.730666047439017</v>
      </c>
      <c r="H337" s="80">
        <v>-1.1275379455069738</v>
      </c>
      <c r="I337" s="80">
        <v>3.730666047439017</v>
      </c>
      <c r="J337" s="3"/>
      <c r="K337" s="79" t="s">
        <v>84</v>
      </c>
      <c r="L337" s="80">
        <v>1.6973031170088504</v>
      </c>
      <c r="M337" s="80">
        <v>0.5332524300331825</v>
      </c>
      <c r="N337" s="80">
        <v>3.1829261742008996</v>
      </c>
      <c r="O337" s="80">
        <v>0.0028615104800760083</v>
      </c>
      <c r="P337" s="80">
        <v>0.6186982786994786</v>
      </c>
      <c r="Q337" s="80">
        <v>2.775907955318222</v>
      </c>
      <c r="R337" s="80">
        <v>0.6186982786994786</v>
      </c>
      <c r="S337" s="80">
        <v>2.775907955318222</v>
      </c>
      <c r="T337" s="3"/>
      <c r="U337" s="79" t="s">
        <v>85</v>
      </c>
      <c r="V337" s="80">
        <v>-1.0364550232626684</v>
      </c>
      <c r="W337" s="80">
        <v>0.328203050300324</v>
      </c>
      <c r="X337" s="80">
        <v>-3.157968892471458</v>
      </c>
      <c r="Y337" s="80">
        <v>0.0030631742326583207</v>
      </c>
      <c r="Z337" s="80">
        <v>-1.7003083468748932</v>
      </c>
      <c r="AA337" s="80">
        <v>-0.37260169965044354</v>
      </c>
      <c r="AB337" s="80">
        <v>-1.7003083468748932</v>
      </c>
      <c r="AC337" s="80">
        <v>-0.37260169965044354</v>
      </c>
      <c r="AD337" s="3"/>
      <c r="AE337" s="3"/>
      <c r="AF337" s="3"/>
      <c r="AG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>
      <c r="A339" s="26" t="s">
        <v>86</v>
      </c>
      <c r="J339" s="3"/>
      <c r="K339" s="5" t="s">
        <v>130</v>
      </c>
      <c r="L339" s="3"/>
      <c r="M339" s="3"/>
      <c r="N339" s="3"/>
      <c r="O339" s="3"/>
      <c r="P339" s="3"/>
      <c r="Q339" s="3"/>
      <c r="R339" s="3"/>
      <c r="S339" s="3"/>
      <c r="T339" s="3"/>
      <c r="U339" s="5" t="s">
        <v>130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>
      <c r="J340" s="3"/>
      <c r="K340" s="26" t="s">
        <v>131</v>
      </c>
      <c r="L340" s="3"/>
      <c r="M340" s="3"/>
      <c r="N340" s="3"/>
      <c r="O340" s="3"/>
      <c r="P340" s="3"/>
      <c r="Q340" s="3"/>
      <c r="R340" s="3"/>
      <c r="S340" s="3"/>
      <c r="T340" s="3"/>
      <c r="U340" s="26" t="s">
        <v>131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>
      <c r="A341" s="26" t="s">
        <v>87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>
      <c r="A342" s="26" t="s">
        <v>88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>
      <c r="A345" s="5" t="s">
        <v>89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>
      <c r="A347" s="81" t="s">
        <v>32</v>
      </c>
      <c r="B347" s="81" t="s">
        <v>1</v>
      </c>
      <c r="C347" s="81" t="s">
        <v>2</v>
      </c>
      <c r="D347" s="81" t="s">
        <v>3</v>
      </c>
      <c r="E347" s="82" t="s">
        <v>90</v>
      </c>
      <c r="F347" s="82" t="s">
        <v>91</v>
      </c>
      <c r="G347" s="82" t="s">
        <v>92</v>
      </c>
      <c r="H347" s="82" t="s">
        <v>93</v>
      </c>
      <c r="I347" s="82" t="s">
        <v>94</v>
      </c>
      <c r="J347" s="82" t="s">
        <v>95</v>
      </c>
      <c r="K347" s="82" t="s">
        <v>63</v>
      </c>
      <c r="L347" s="2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>
      <c r="A348" s="83">
        <v>1.0</v>
      </c>
      <c r="B348" s="84">
        <v>73.8</v>
      </c>
      <c r="C348" s="85">
        <v>5.0</v>
      </c>
      <c r="D348" s="85">
        <f t="shared" ref="D348:D388" si="69">D114</f>
        <v>0</v>
      </c>
      <c r="E348" s="84">
        <f t="shared" ref="E348:G348" si="68">B348^2</f>
        <v>5446.44</v>
      </c>
      <c r="F348" s="86">
        <f t="shared" si="68"/>
        <v>25</v>
      </c>
      <c r="G348" s="86">
        <f t="shared" si="68"/>
        <v>0</v>
      </c>
      <c r="H348" s="86">
        <f t="shared" ref="H348:H388" si="71">B348*C348</f>
        <v>369</v>
      </c>
      <c r="I348" s="86">
        <f t="shared" ref="I348:I388" si="72">B348*D348</f>
        <v>0</v>
      </c>
      <c r="J348" s="86">
        <f t="shared" ref="J348:J388" si="73">C348*D348</f>
        <v>0</v>
      </c>
      <c r="K348" s="86">
        <f t="shared" ref="K348:K388" si="74">G114</f>
        <v>5268548892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>
      <c r="A349" s="83">
        <v>2.0</v>
      </c>
      <c r="B349" s="84">
        <v>98.1</v>
      </c>
      <c r="C349" s="85">
        <v>6.0</v>
      </c>
      <c r="D349" s="85">
        <f t="shared" si="69"/>
        <v>10</v>
      </c>
      <c r="E349" s="84">
        <f t="shared" ref="E349:G349" si="70">B349^2</f>
        <v>9623.61</v>
      </c>
      <c r="F349" s="86">
        <f t="shared" si="70"/>
        <v>36</v>
      </c>
      <c r="G349" s="86">
        <f t="shared" si="70"/>
        <v>100</v>
      </c>
      <c r="H349" s="86">
        <f t="shared" si="71"/>
        <v>588.6</v>
      </c>
      <c r="I349" s="86">
        <f t="shared" si="72"/>
        <v>981</v>
      </c>
      <c r="J349" s="86">
        <f t="shared" si="73"/>
        <v>60</v>
      </c>
      <c r="K349" s="86">
        <f t="shared" si="74"/>
        <v>484091762.4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>
      <c r="A350" s="83">
        <v>3.0</v>
      </c>
      <c r="B350" s="84">
        <v>76.9</v>
      </c>
      <c r="C350" s="85">
        <v>2.0</v>
      </c>
      <c r="D350" s="85">
        <f t="shared" si="69"/>
        <v>13</v>
      </c>
      <c r="E350" s="84">
        <f t="shared" ref="E350:G350" si="75">B350^2</f>
        <v>5913.61</v>
      </c>
      <c r="F350" s="86">
        <f t="shared" si="75"/>
        <v>4</v>
      </c>
      <c r="G350" s="86">
        <f t="shared" si="75"/>
        <v>169</v>
      </c>
      <c r="H350" s="86">
        <f t="shared" si="71"/>
        <v>153.8</v>
      </c>
      <c r="I350" s="86">
        <f t="shared" si="72"/>
        <v>999.7</v>
      </c>
      <c r="J350" s="86">
        <f t="shared" si="73"/>
        <v>26</v>
      </c>
      <c r="K350" s="86">
        <f t="shared" si="74"/>
        <v>28615822.9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>
      <c r="A351" s="83">
        <v>4.0</v>
      </c>
      <c r="B351" s="85">
        <v>45.0</v>
      </c>
      <c r="C351" s="85">
        <v>4.0</v>
      </c>
      <c r="D351" s="85">
        <f t="shared" si="69"/>
        <v>63</v>
      </c>
      <c r="E351" s="84">
        <f t="shared" ref="E351:G351" si="76">B351^2</f>
        <v>2025</v>
      </c>
      <c r="F351" s="86">
        <f t="shared" si="76"/>
        <v>16</v>
      </c>
      <c r="G351" s="86">
        <f t="shared" si="76"/>
        <v>3969</v>
      </c>
      <c r="H351" s="86">
        <f t="shared" si="71"/>
        <v>180</v>
      </c>
      <c r="I351" s="86">
        <f t="shared" si="72"/>
        <v>2835</v>
      </c>
      <c r="J351" s="86">
        <f t="shared" si="73"/>
        <v>252</v>
      </c>
      <c r="K351" s="86">
        <f t="shared" si="74"/>
        <v>1078991.412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>
      <c r="A352" s="83">
        <v>5.0</v>
      </c>
      <c r="B352" s="85">
        <v>55.6</v>
      </c>
      <c r="C352" s="85">
        <v>7.0</v>
      </c>
      <c r="D352" s="85">
        <f t="shared" si="69"/>
        <v>47</v>
      </c>
      <c r="E352" s="84">
        <f t="shared" ref="E352:G352" si="77">B352^2</f>
        <v>3091.36</v>
      </c>
      <c r="F352" s="86">
        <f t="shared" si="77"/>
        <v>49</v>
      </c>
      <c r="G352" s="86">
        <f t="shared" si="77"/>
        <v>2209</v>
      </c>
      <c r="H352" s="86">
        <f t="shared" si="71"/>
        <v>389.2</v>
      </c>
      <c r="I352" s="86">
        <f t="shared" si="72"/>
        <v>2613.2</v>
      </c>
      <c r="J352" s="86">
        <f t="shared" si="73"/>
        <v>329</v>
      </c>
      <c r="K352" s="86">
        <f t="shared" si="74"/>
        <v>57590748.71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>
      <c r="A353" s="83">
        <v>6.0</v>
      </c>
      <c r="B353" s="85">
        <v>122.0</v>
      </c>
      <c r="C353" s="85">
        <v>30.0</v>
      </c>
      <c r="D353" s="85">
        <f t="shared" si="69"/>
        <v>3</v>
      </c>
      <c r="E353" s="84">
        <f t="shared" ref="E353:G353" si="78">B353^2</f>
        <v>14884</v>
      </c>
      <c r="F353" s="86">
        <f t="shared" si="78"/>
        <v>900</v>
      </c>
      <c r="G353" s="86">
        <f t="shared" si="78"/>
        <v>9</v>
      </c>
      <c r="H353" s="86">
        <f t="shared" si="71"/>
        <v>3660</v>
      </c>
      <c r="I353" s="86">
        <f t="shared" si="72"/>
        <v>366</v>
      </c>
      <c r="J353" s="86">
        <f t="shared" si="73"/>
        <v>90</v>
      </c>
      <c r="K353" s="86">
        <f t="shared" si="74"/>
        <v>26985846805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>
      <c r="A354" s="83">
        <v>7.0</v>
      </c>
      <c r="B354" s="85">
        <v>48.9</v>
      </c>
      <c r="C354" s="85">
        <v>2.0</v>
      </c>
      <c r="D354" s="85">
        <f t="shared" si="69"/>
        <v>39</v>
      </c>
      <c r="E354" s="84">
        <f t="shared" ref="E354:G354" si="79">B354^2</f>
        <v>2391.21</v>
      </c>
      <c r="F354" s="86">
        <f t="shared" si="79"/>
        <v>4</v>
      </c>
      <c r="G354" s="86">
        <f t="shared" si="79"/>
        <v>1521</v>
      </c>
      <c r="H354" s="86">
        <f t="shared" si="71"/>
        <v>97.8</v>
      </c>
      <c r="I354" s="86">
        <f t="shared" si="72"/>
        <v>1907.1</v>
      </c>
      <c r="J354" s="86">
        <f t="shared" si="73"/>
        <v>78</v>
      </c>
      <c r="K354" s="86">
        <f t="shared" si="74"/>
        <v>15523120.2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>
      <c r="A355" s="83">
        <v>8.0</v>
      </c>
      <c r="B355" s="85">
        <v>41.15</v>
      </c>
      <c r="C355" s="85">
        <v>10.0</v>
      </c>
      <c r="D355" s="85">
        <f t="shared" si="69"/>
        <v>0</v>
      </c>
      <c r="E355" s="84">
        <f t="shared" ref="E355:G355" si="80">B355^2</f>
        <v>1693.3225</v>
      </c>
      <c r="F355" s="86">
        <f t="shared" si="80"/>
        <v>100</v>
      </c>
      <c r="G355" s="86">
        <f t="shared" si="80"/>
        <v>0</v>
      </c>
      <c r="H355" s="86">
        <f t="shared" si="71"/>
        <v>411.5</v>
      </c>
      <c r="I355" s="86">
        <f t="shared" si="72"/>
        <v>0</v>
      </c>
      <c r="J355" s="86">
        <f t="shared" si="73"/>
        <v>0</v>
      </c>
      <c r="K355" s="86">
        <f t="shared" si="74"/>
        <v>537748238429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>
      <c r="A356" s="83">
        <v>9.0</v>
      </c>
      <c r="B356" s="85">
        <v>42.1</v>
      </c>
      <c r="C356" s="85">
        <v>4.0</v>
      </c>
      <c r="D356" s="85">
        <f t="shared" si="69"/>
        <v>5</v>
      </c>
      <c r="E356" s="84">
        <f t="shared" ref="E356:G356" si="81">B356^2</f>
        <v>1772.41</v>
      </c>
      <c r="F356" s="86">
        <f t="shared" si="81"/>
        <v>16</v>
      </c>
      <c r="G356" s="86">
        <f t="shared" si="81"/>
        <v>25</v>
      </c>
      <c r="H356" s="86">
        <f t="shared" si="71"/>
        <v>168.4</v>
      </c>
      <c r="I356" s="86">
        <f t="shared" si="72"/>
        <v>210.5</v>
      </c>
      <c r="J356" s="86">
        <f t="shared" si="73"/>
        <v>20</v>
      </c>
      <c r="K356" s="86">
        <f t="shared" si="74"/>
        <v>33469.57682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>
      <c r="A357" s="83">
        <v>10.0</v>
      </c>
      <c r="B357" s="85">
        <v>175.6</v>
      </c>
      <c r="C357" s="85">
        <v>5.0</v>
      </c>
      <c r="D357" s="85">
        <f t="shared" si="69"/>
        <v>0</v>
      </c>
      <c r="E357" s="84">
        <f t="shared" ref="E357:G357" si="82">B357^2</f>
        <v>30835.36</v>
      </c>
      <c r="F357" s="86">
        <f t="shared" si="82"/>
        <v>25</v>
      </c>
      <c r="G357" s="86">
        <f t="shared" si="82"/>
        <v>0</v>
      </c>
      <c r="H357" s="86">
        <f t="shared" si="71"/>
        <v>878</v>
      </c>
      <c r="I357" s="86">
        <f t="shared" si="72"/>
        <v>0</v>
      </c>
      <c r="J357" s="86">
        <f t="shared" si="73"/>
        <v>0</v>
      </c>
      <c r="K357" s="86">
        <f t="shared" si="74"/>
        <v>524862347.9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>
      <c r="A358" s="83">
        <v>11.0</v>
      </c>
      <c r="B358" s="85">
        <v>56.6</v>
      </c>
      <c r="C358" s="85">
        <v>2.0</v>
      </c>
      <c r="D358" s="85">
        <f t="shared" si="69"/>
        <v>0</v>
      </c>
      <c r="E358" s="84">
        <f t="shared" ref="E358:G358" si="83">B358^2</f>
        <v>3203.56</v>
      </c>
      <c r="F358" s="86">
        <f t="shared" si="83"/>
        <v>4</v>
      </c>
      <c r="G358" s="86">
        <f t="shared" si="83"/>
        <v>0</v>
      </c>
      <c r="H358" s="86">
        <f t="shared" si="71"/>
        <v>113.2</v>
      </c>
      <c r="I358" s="86">
        <f t="shared" si="72"/>
        <v>0</v>
      </c>
      <c r="J358" s="86">
        <f t="shared" si="73"/>
        <v>0</v>
      </c>
      <c r="K358" s="86">
        <f t="shared" si="74"/>
        <v>1986422840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>
      <c r="A359" s="83">
        <v>12.0</v>
      </c>
      <c r="B359" s="85">
        <v>79.3</v>
      </c>
      <c r="C359" s="85">
        <v>5.0</v>
      </c>
      <c r="D359" s="85">
        <f t="shared" si="69"/>
        <v>14</v>
      </c>
      <c r="E359" s="84">
        <f t="shared" ref="E359:G359" si="84">B359^2</f>
        <v>6288.49</v>
      </c>
      <c r="F359" s="86">
        <f t="shared" si="84"/>
        <v>25</v>
      </c>
      <c r="G359" s="86">
        <f t="shared" si="84"/>
        <v>196</v>
      </c>
      <c r="H359" s="86">
        <f t="shared" si="71"/>
        <v>396.5</v>
      </c>
      <c r="I359" s="86">
        <f t="shared" si="72"/>
        <v>1110.2</v>
      </c>
      <c r="J359" s="86">
        <f t="shared" si="73"/>
        <v>70</v>
      </c>
      <c r="K359" s="86">
        <f t="shared" si="74"/>
        <v>1693901159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>
      <c r="A360" s="83">
        <v>13.0</v>
      </c>
      <c r="B360" s="85">
        <v>32.2</v>
      </c>
      <c r="C360" s="85">
        <v>5.0</v>
      </c>
      <c r="D360" s="85">
        <f t="shared" si="69"/>
        <v>2</v>
      </c>
      <c r="E360" s="84">
        <f t="shared" ref="E360:G360" si="85">B360^2</f>
        <v>1036.84</v>
      </c>
      <c r="F360" s="86">
        <f t="shared" si="85"/>
        <v>25</v>
      </c>
      <c r="G360" s="86">
        <f t="shared" si="85"/>
        <v>4</v>
      </c>
      <c r="H360" s="86">
        <f t="shared" si="71"/>
        <v>161</v>
      </c>
      <c r="I360" s="86">
        <f t="shared" si="72"/>
        <v>64.4</v>
      </c>
      <c r="J360" s="86">
        <f t="shared" si="73"/>
        <v>10</v>
      </c>
      <c r="K360" s="86">
        <f t="shared" si="74"/>
        <v>3220729.992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>
      <c r="A361" s="83">
        <v>14.0</v>
      </c>
      <c r="B361" s="85">
        <v>107.7</v>
      </c>
      <c r="C361" s="85">
        <v>16.0</v>
      </c>
      <c r="D361" s="85">
        <f t="shared" si="69"/>
        <v>21</v>
      </c>
      <c r="E361" s="84">
        <f t="shared" ref="E361:G361" si="86">B361^2</f>
        <v>11599.29</v>
      </c>
      <c r="F361" s="86">
        <f t="shared" si="86"/>
        <v>256</v>
      </c>
      <c r="G361" s="86">
        <f t="shared" si="86"/>
        <v>441</v>
      </c>
      <c r="H361" s="86">
        <f t="shared" si="71"/>
        <v>1723.2</v>
      </c>
      <c r="I361" s="86">
        <f t="shared" si="72"/>
        <v>2261.7</v>
      </c>
      <c r="J361" s="86">
        <f t="shared" si="73"/>
        <v>336</v>
      </c>
      <c r="K361" s="86">
        <f t="shared" si="74"/>
        <v>241438205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>
      <c r="A362" s="83">
        <v>15.0</v>
      </c>
      <c r="B362" s="85">
        <v>65.5</v>
      </c>
      <c r="C362" s="85">
        <v>2.0</v>
      </c>
      <c r="D362" s="85">
        <f t="shared" si="69"/>
        <v>19</v>
      </c>
      <c r="E362" s="84">
        <f t="shared" ref="E362:G362" si="87">B362^2</f>
        <v>4290.25</v>
      </c>
      <c r="F362" s="86">
        <f t="shared" si="87"/>
        <v>4</v>
      </c>
      <c r="G362" s="86">
        <f t="shared" si="87"/>
        <v>361</v>
      </c>
      <c r="H362" s="86">
        <f t="shared" si="71"/>
        <v>131</v>
      </c>
      <c r="I362" s="86">
        <f t="shared" si="72"/>
        <v>1244.5</v>
      </c>
      <c r="J362" s="86">
        <f t="shared" si="73"/>
        <v>38</v>
      </c>
      <c r="K362" s="86">
        <f t="shared" si="74"/>
        <v>6067307158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>
      <c r="A363" s="83">
        <v>16.0</v>
      </c>
      <c r="B363" s="85">
        <v>35.3</v>
      </c>
      <c r="C363" s="85">
        <v>2.0</v>
      </c>
      <c r="D363" s="85">
        <f t="shared" si="69"/>
        <v>21</v>
      </c>
      <c r="E363" s="84">
        <f t="shared" ref="E363:G363" si="88">B363^2</f>
        <v>1246.09</v>
      </c>
      <c r="F363" s="86">
        <f t="shared" si="88"/>
        <v>4</v>
      </c>
      <c r="G363" s="86">
        <f t="shared" si="88"/>
        <v>441</v>
      </c>
      <c r="H363" s="86">
        <f t="shared" si="71"/>
        <v>70.6</v>
      </c>
      <c r="I363" s="86">
        <f t="shared" si="72"/>
        <v>741.3</v>
      </c>
      <c r="J363" s="86">
        <f t="shared" si="73"/>
        <v>42</v>
      </c>
      <c r="K363" s="86">
        <f t="shared" si="74"/>
        <v>723954042.8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>
      <c r="A364" s="83">
        <v>17.0</v>
      </c>
      <c r="B364" s="85">
        <v>45.8</v>
      </c>
      <c r="C364" s="85">
        <v>7.0</v>
      </c>
      <c r="D364" s="85">
        <f t="shared" si="69"/>
        <v>2</v>
      </c>
      <c r="E364" s="84">
        <f t="shared" ref="E364:G364" si="89">B364^2</f>
        <v>2097.64</v>
      </c>
      <c r="F364" s="86">
        <f t="shared" si="89"/>
        <v>49</v>
      </c>
      <c r="G364" s="86">
        <f t="shared" si="89"/>
        <v>4</v>
      </c>
      <c r="H364" s="86">
        <f t="shared" si="71"/>
        <v>320.6</v>
      </c>
      <c r="I364" s="86">
        <f t="shared" si="72"/>
        <v>91.6</v>
      </c>
      <c r="J364" s="86">
        <f t="shared" si="73"/>
        <v>14</v>
      </c>
      <c r="K364" s="86">
        <f t="shared" si="74"/>
        <v>3055670911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>
      <c r="A365" s="83">
        <v>18.0</v>
      </c>
      <c r="B365" s="85">
        <v>94.2</v>
      </c>
      <c r="C365" s="85">
        <v>12.0</v>
      </c>
      <c r="D365" s="85">
        <f t="shared" si="69"/>
        <v>8</v>
      </c>
      <c r="E365" s="84">
        <f t="shared" ref="E365:G365" si="90">B365^2</f>
        <v>8873.64</v>
      </c>
      <c r="F365" s="86">
        <f t="shared" si="90"/>
        <v>144</v>
      </c>
      <c r="G365" s="86">
        <f t="shared" si="90"/>
        <v>64</v>
      </c>
      <c r="H365" s="86">
        <f t="shared" si="71"/>
        <v>1130.4</v>
      </c>
      <c r="I365" s="86">
        <f t="shared" si="72"/>
        <v>753.6</v>
      </c>
      <c r="J365" s="86">
        <f t="shared" si="73"/>
        <v>96</v>
      </c>
      <c r="K365" s="86">
        <f t="shared" si="74"/>
        <v>1486623455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>
      <c r="A366" s="83">
        <v>19.0</v>
      </c>
      <c r="B366" s="85">
        <v>58.3</v>
      </c>
      <c r="C366" s="85">
        <v>13.0</v>
      </c>
      <c r="D366" s="85">
        <f t="shared" si="69"/>
        <v>1</v>
      </c>
      <c r="E366" s="84">
        <f t="shared" ref="E366:G366" si="91">B366^2</f>
        <v>3398.89</v>
      </c>
      <c r="F366" s="86">
        <f t="shared" si="91"/>
        <v>169</v>
      </c>
      <c r="G366" s="86">
        <f t="shared" si="91"/>
        <v>1</v>
      </c>
      <c r="H366" s="86">
        <f t="shared" si="71"/>
        <v>757.9</v>
      </c>
      <c r="I366" s="86">
        <f t="shared" si="72"/>
        <v>58.3</v>
      </c>
      <c r="J366" s="86">
        <f t="shared" si="73"/>
        <v>13</v>
      </c>
      <c r="K366" s="86">
        <f t="shared" si="74"/>
        <v>2527199272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>
      <c r="A367" s="83">
        <v>20.0</v>
      </c>
      <c r="B367" s="85">
        <v>58.2</v>
      </c>
      <c r="C367" s="85">
        <v>8.0</v>
      </c>
      <c r="D367" s="85">
        <f t="shared" si="69"/>
        <v>2</v>
      </c>
      <c r="E367" s="84">
        <f t="shared" ref="E367:G367" si="92">B367^2</f>
        <v>3387.24</v>
      </c>
      <c r="F367" s="86">
        <f t="shared" si="92"/>
        <v>64</v>
      </c>
      <c r="G367" s="86">
        <f t="shared" si="92"/>
        <v>4</v>
      </c>
      <c r="H367" s="86">
        <f t="shared" si="71"/>
        <v>465.6</v>
      </c>
      <c r="I367" s="86">
        <f t="shared" si="72"/>
        <v>116.4</v>
      </c>
      <c r="J367" s="86">
        <f t="shared" si="73"/>
        <v>16</v>
      </c>
      <c r="K367" s="86">
        <f t="shared" si="74"/>
        <v>3300323201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>
      <c r="A368" s="83">
        <v>21.0</v>
      </c>
      <c r="B368" s="85">
        <v>133.1</v>
      </c>
      <c r="C368" s="85">
        <v>4.0</v>
      </c>
      <c r="D368" s="85">
        <f t="shared" si="69"/>
        <v>18</v>
      </c>
      <c r="E368" s="84">
        <f t="shared" ref="E368:G368" si="93">B368^2</f>
        <v>17715.61</v>
      </c>
      <c r="F368" s="86">
        <f t="shared" si="93"/>
        <v>16</v>
      </c>
      <c r="G368" s="86">
        <f t="shared" si="93"/>
        <v>324</v>
      </c>
      <c r="H368" s="86">
        <f t="shared" si="71"/>
        <v>532.4</v>
      </c>
      <c r="I368" s="86">
        <f t="shared" si="72"/>
        <v>2395.8</v>
      </c>
      <c r="J368" s="86">
        <f t="shared" si="73"/>
        <v>72</v>
      </c>
      <c r="K368" s="86">
        <f t="shared" si="74"/>
        <v>847598994.5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>
      <c r="A369" s="83">
        <v>22.0</v>
      </c>
      <c r="B369" s="85">
        <v>63.5</v>
      </c>
      <c r="C369" s="85">
        <v>10.0</v>
      </c>
      <c r="D369" s="85">
        <f t="shared" si="69"/>
        <v>0</v>
      </c>
      <c r="E369" s="84">
        <f t="shared" ref="E369:G369" si="94">B369^2</f>
        <v>4032.25</v>
      </c>
      <c r="F369" s="86">
        <f t="shared" si="94"/>
        <v>100</v>
      </c>
      <c r="G369" s="86">
        <f t="shared" si="94"/>
        <v>0</v>
      </c>
      <c r="H369" s="86">
        <f t="shared" si="71"/>
        <v>635</v>
      </c>
      <c r="I369" s="86">
        <f t="shared" si="72"/>
        <v>0</v>
      </c>
      <c r="J369" s="86">
        <f t="shared" si="73"/>
        <v>0</v>
      </c>
      <c r="K369" s="86">
        <f t="shared" si="74"/>
        <v>2139740921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>
      <c r="A370" s="83">
        <v>23.0</v>
      </c>
      <c r="B370" s="85">
        <v>55.6</v>
      </c>
      <c r="C370" s="85">
        <v>22.0</v>
      </c>
      <c r="D370" s="85">
        <f t="shared" si="69"/>
        <v>4</v>
      </c>
      <c r="E370" s="84">
        <f t="shared" ref="E370:G370" si="95">B370^2</f>
        <v>3091.36</v>
      </c>
      <c r="F370" s="86">
        <f t="shared" si="95"/>
        <v>484</v>
      </c>
      <c r="G370" s="86">
        <f t="shared" si="95"/>
        <v>16</v>
      </c>
      <c r="H370" s="86">
        <f t="shared" si="71"/>
        <v>1223.2</v>
      </c>
      <c r="I370" s="86">
        <f t="shared" si="72"/>
        <v>222.4</v>
      </c>
      <c r="J370" s="86">
        <f t="shared" si="73"/>
        <v>88</v>
      </c>
      <c r="K370" s="86">
        <f t="shared" si="74"/>
        <v>3136914271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>
      <c r="A371" s="83">
        <v>24.0</v>
      </c>
      <c r="B371" s="85">
        <v>61.0</v>
      </c>
      <c r="C371" s="85">
        <v>7.0</v>
      </c>
      <c r="D371" s="85">
        <f t="shared" si="69"/>
        <v>17</v>
      </c>
      <c r="E371" s="84">
        <f t="shared" ref="E371:G371" si="96">B371^2</f>
        <v>3721</v>
      </c>
      <c r="F371" s="86">
        <f t="shared" si="96"/>
        <v>49</v>
      </c>
      <c r="G371" s="86">
        <f t="shared" si="96"/>
        <v>289</v>
      </c>
      <c r="H371" s="86">
        <f t="shared" si="71"/>
        <v>427</v>
      </c>
      <c r="I371" s="86">
        <f t="shared" si="72"/>
        <v>1037</v>
      </c>
      <c r="J371" s="86">
        <f t="shared" si="73"/>
        <v>119</v>
      </c>
      <c r="K371" s="86">
        <f t="shared" si="74"/>
        <v>1090719239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>
      <c r="A372" s="83">
        <v>25.0</v>
      </c>
      <c r="B372" s="85">
        <v>35.2</v>
      </c>
      <c r="C372" s="85">
        <v>1.0</v>
      </c>
      <c r="D372" s="85">
        <f t="shared" si="69"/>
        <v>38</v>
      </c>
      <c r="E372" s="84">
        <f t="shared" ref="E372:G372" si="97">B372^2</f>
        <v>1239.04</v>
      </c>
      <c r="F372" s="86">
        <f t="shared" si="97"/>
        <v>1</v>
      </c>
      <c r="G372" s="86">
        <f t="shared" si="97"/>
        <v>1444</v>
      </c>
      <c r="H372" s="86">
        <f t="shared" si="71"/>
        <v>35.2</v>
      </c>
      <c r="I372" s="86">
        <f t="shared" si="72"/>
        <v>1337.6</v>
      </c>
      <c r="J372" s="86">
        <f t="shared" si="73"/>
        <v>38</v>
      </c>
      <c r="K372" s="86">
        <f t="shared" si="74"/>
        <v>250272662.7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>
      <c r="A373" s="83">
        <v>26.0</v>
      </c>
      <c r="B373" s="85">
        <v>34.9</v>
      </c>
      <c r="C373" s="85">
        <v>8.0</v>
      </c>
      <c r="D373" s="85">
        <f t="shared" si="69"/>
        <v>49</v>
      </c>
      <c r="E373" s="84">
        <f t="shared" ref="E373:G373" si="98">B373^2</f>
        <v>1218.01</v>
      </c>
      <c r="F373" s="86">
        <f t="shared" si="98"/>
        <v>64</v>
      </c>
      <c r="G373" s="86">
        <f t="shared" si="98"/>
        <v>2401</v>
      </c>
      <c r="H373" s="86">
        <f t="shared" si="71"/>
        <v>279.2</v>
      </c>
      <c r="I373" s="86">
        <f t="shared" si="72"/>
        <v>1710.1</v>
      </c>
      <c r="J373" s="86">
        <f t="shared" si="73"/>
        <v>392</v>
      </c>
      <c r="K373" s="86">
        <f t="shared" si="74"/>
        <v>353669149.1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>
      <c r="A374" s="83">
        <v>27.0</v>
      </c>
      <c r="B374" s="85">
        <v>32.0</v>
      </c>
      <c r="C374" s="85">
        <v>2.0</v>
      </c>
      <c r="D374" s="85">
        <f t="shared" si="69"/>
        <v>64</v>
      </c>
      <c r="E374" s="84">
        <f t="shared" ref="E374:G374" si="99">B374^2</f>
        <v>1024</v>
      </c>
      <c r="F374" s="86">
        <f t="shared" si="99"/>
        <v>4</v>
      </c>
      <c r="G374" s="86">
        <f t="shared" si="99"/>
        <v>4096</v>
      </c>
      <c r="H374" s="86">
        <f t="shared" si="71"/>
        <v>64</v>
      </c>
      <c r="I374" s="86">
        <f t="shared" si="72"/>
        <v>2048</v>
      </c>
      <c r="J374" s="86">
        <f t="shared" si="73"/>
        <v>128</v>
      </c>
      <c r="K374" s="86">
        <f t="shared" si="74"/>
        <v>280470593.9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>
      <c r="A375" s="83">
        <v>28.0</v>
      </c>
      <c r="B375" s="85">
        <v>34.6</v>
      </c>
      <c r="C375" s="85">
        <v>9.0</v>
      </c>
      <c r="D375" s="85">
        <f t="shared" si="69"/>
        <v>2</v>
      </c>
      <c r="E375" s="84">
        <f t="shared" ref="E375:G375" si="100">B375^2</f>
        <v>1197.16</v>
      </c>
      <c r="F375" s="86">
        <f t="shared" si="100"/>
        <v>81</v>
      </c>
      <c r="G375" s="86">
        <f t="shared" si="100"/>
        <v>4</v>
      </c>
      <c r="H375" s="86">
        <f t="shared" si="71"/>
        <v>311.4</v>
      </c>
      <c r="I375" s="86">
        <f t="shared" si="72"/>
        <v>69.2</v>
      </c>
      <c r="J375" s="86">
        <f t="shared" si="73"/>
        <v>18</v>
      </c>
      <c r="K375" s="86">
        <f t="shared" si="74"/>
        <v>1613218220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>
      <c r="A376" s="83">
        <v>29.0</v>
      </c>
      <c r="B376" s="85">
        <v>44.9</v>
      </c>
      <c r="C376" s="85">
        <v>11.0</v>
      </c>
      <c r="D376" s="85">
        <f t="shared" si="69"/>
        <v>15</v>
      </c>
      <c r="E376" s="84">
        <f t="shared" ref="E376:G376" si="101">B376^2</f>
        <v>2016.01</v>
      </c>
      <c r="F376" s="86">
        <f t="shared" si="101"/>
        <v>121</v>
      </c>
      <c r="G376" s="86">
        <f t="shared" si="101"/>
        <v>225</v>
      </c>
      <c r="H376" s="86">
        <f t="shared" si="71"/>
        <v>493.9</v>
      </c>
      <c r="I376" s="86">
        <f t="shared" si="72"/>
        <v>673.5</v>
      </c>
      <c r="J376" s="86">
        <f t="shared" si="73"/>
        <v>165</v>
      </c>
      <c r="K376" s="86">
        <f t="shared" si="74"/>
        <v>3752555031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>
      <c r="A377" s="83">
        <v>30.0</v>
      </c>
      <c r="B377" s="85">
        <v>90.3</v>
      </c>
      <c r="C377" s="85">
        <v>16.0</v>
      </c>
      <c r="D377" s="85">
        <f t="shared" si="69"/>
        <v>0</v>
      </c>
      <c r="E377" s="84">
        <f t="shared" ref="E377:G377" si="102">B377^2</f>
        <v>8154.09</v>
      </c>
      <c r="F377" s="86">
        <f t="shared" si="102"/>
        <v>256</v>
      </c>
      <c r="G377" s="86">
        <f t="shared" si="102"/>
        <v>0</v>
      </c>
      <c r="H377" s="86">
        <f t="shared" si="71"/>
        <v>1444.8</v>
      </c>
      <c r="I377" s="86">
        <f t="shared" si="72"/>
        <v>0</v>
      </c>
      <c r="J377" s="86">
        <f t="shared" si="73"/>
        <v>0</v>
      </c>
      <c r="K377" s="86">
        <f t="shared" si="74"/>
        <v>2602610185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>
      <c r="A378" s="83">
        <v>31.0</v>
      </c>
      <c r="B378" s="85">
        <v>26.1</v>
      </c>
      <c r="C378" s="85">
        <v>24.0</v>
      </c>
      <c r="D378" s="85">
        <f t="shared" si="69"/>
        <v>3</v>
      </c>
      <c r="E378" s="84">
        <f t="shared" ref="E378:G378" si="103">B378^2</f>
        <v>681.21</v>
      </c>
      <c r="F378" s="86">
        <f t="shared" si="103"/>
        <v>576</v>
      </c>
      <c r="G378" s="86">
        <f t="shared" si="103"/>
        <v>9</v>
      </c>
      <c r="H378" s="86">
        <f t="shared" si="71"/>
        <v>626.4</v>
      </c>
      <c r="I378" s="86">
        <f t="shared" si="72"/>
        <v>78.3</v>
      </c>
      <c r="J378" s="86">
        <f t="shared" si="73"/>
        <v>72</v>
      </c>
      <c r="K378" s="86">
        <f t="shared" si="74"/>
        <v>5448287286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>
      <c r="A379" s="83">
        <v>32.0</v>
      </c>
      <c r="B379" s="85">
        <v>39.5</v>
      </c>
      <c r="C379" s="85">
        <v>18.0</v>
      </c>
      <c r="D379" s="85">
        <f t="shared" si="69"/>
        <v>4</v>
      </c>
      <c r="E379" s="84">
        <f t="shared" ref="E379:G379" si="104">B379^2</f>
        <v>1560.25</v>
      </c>
      <c r="F379" s="86">
        <f t="shared" si="104"/>
        <v>324</v>
      </c>
      <c r="G379" s="86">
        <f t="shared" si="104"/>
        <v>16</v>
      </c>
      <c r="H379" s="86">
        <f t="shared" si="71"/>
        <v>711</v>
      </c>
      <c r="I379" s="86">
        <f t="shared" si="72"/>
        <v>158</v>
      </c>
      <c r="J379" s="86">
        <f t="shared" si="73"/>
        <v>72</v>
      </c>
      <c r="K379" s="86">
        <f t="shared" si="74"/>
        <v>2848365454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>
      <c r="A380" s="83">
        <v>33.0</v>
      </c>
      <c r="B380" s="85">
        <v>68.4</v>
      </c>
      <c r="C380" s="85">
        <v>7.0</v>
      </c>
      <c r="D380" s="85">
        <f t="shared" si="69"/>
        <v>8</v>
      </c>
      <c r="E380" s="84">
        <f t="shared" ref="E380:G380" si="105">B380^2</f>
        <v>4678.56</v>
      </c>
      <c r="F380" s="86">
        <f t="shared" si="105"/>
        <v>49</v>
      </c>
      <c r="G380" s="86">
        <f t="shared" si="105"/>
        <v>64</v>
      </c>
      <c r="H380" s="86">
        <f t="shared" si="71"/>
        <v>478.8</v>
      </c>
      <c r="I380" s="86">
        <f t="shared" si="72"/>
        <v>547.2</v>
      </c>
      <c r="J380" s="86">
        <f t="shared" si="73"/>
        <v>56</v>
      </c>
      <c r="K380" s="86">
        <f t="shared" si="74"/>
        <v>1622470160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>
      <c r="A381" s="83">
        <v>34.0</v>
      </c>
      <c r="B381" s="85">
        <v>49.9</v>
      </c>
      <c r="C381" s="85">
        <v>5.0</v>
      </c>
      <c r="D381" s="85">
        <f t="shared" si="69"/>
        <v>56</v>
      </c>
      <c r="E381" s="84">
        <f t="shared" ref="E381:G381" si="106">B381^2</f>
        <v>2490.01</v>
      </c>
      <c r="F381" s="86">
        <f t="shared" si="106"/>
        <v>25</v>
      </c>
      <c r="G381" s="86">
        <f t="shared" si="106"/>
        <v>3136</v>
      </c>
      <c r="H381" s="86">
        <f t="shared" si="71"/>
        <v>249.5</v>
      </c>
      <c r="I381" s="86">
        <f t="shared" si="72"/>
        <v>2794.4</v>
      </c>
      <c r="J381" s="86">
        <f t="shared" si="73"/>
        <v>280</v>
      </c>
      <c r="K381" s="86">
        <f t="shared" si="74"/>
        <v>139060006.7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>
      <c r="A382" s="83">
        <v>35.0</v>
      </c>
      <c r="B382" s="85">
        <v>57.1</v>
      </c>
      <c r="C382" s="85">
        <v>2.0</v>
      </c>
      <c r="D382" s="85">
        <f t="shared" si="69"/>
        <v>1</v>
      </c>
      <c r="E382" s="84">
        <f t="shared" ref="E382:G382" si="107">B382^2</f>
        <v>3260.41</v>
      </c>
      <c r="F382" s="86">
        <f t="shared" si="107"/>
        <v>4</v>
      </c>
      <c r="G382" s="86">
        <f t="shared" si="107"/>
        <v>1</v>
      </c>
      <c r="H382" s="86">
        <f t="shared" si="71"/>
        <v>114.2</v>
      </c>
      <c r="I382" s="86">
        <f t="shared" si="72"/>
        <v>57.1</v>
      </c>
      <c r="J382" s="86">
        <f t="shared" si="73"/>
        <v>2</v>
      </c>
      <c r="K382" s="86">
        <f t="shared" si="74"/>
        <v>54695453.29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>
      <c r="A383" s="83">
        <v>36.0</v>
      </c>
      <c r="B383" s="85">
        <v>37.5</v>
      </c>
      <c r="C383" s="85">
        <v>24.0</v>
      </c>
      <c r="D383" s="85">
        <f t="shared" si="69"/>
        <v>0</v>
      </c>
      <c r="E383" s="84">
        <f t="shared" ref="E383:G383" si="108">B383^2</f>
        <v>1406.25</v>
      </c>
      <c r="F383" s="86">
        <f t="shared" si="108"/>
        <v>576</v>
      </c>
      <c r="G383" s="86">
        <f t="shared" si="108"/>
        <v>0</v>
      </c>
      <c r="H383" s="86">
        <f t="shared" si="71"/>
        <v>900</v>
      </c>
      <c r="I383" s="86">
        <f t="shared" si="72"/>
        <v>0</v>
      </c>
      <c r="J383" s="86">
        <f t="shared" si="73"/>
        <v>0</v>
      </c>
      <c r="K383" s="86">
        <f t="shared" si="74"/>
        <v>7872773227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>
      <c r="A384" s="83">
        <v>37.0</v>
      </c>
      <c r="B384" s="85">
        <v>60.0</v>
      </c>
      <c r="C384" s="85">
        <v>2.0</v>
      </c>
      <c r="D384" s="85">
        <f t="shared" si="69"/>
        <v>0</v>
      </c>
      <c r="E384" s="84">
        <f t="shared" ref="E384:G384" si="109">B384^2</f>
        <v>3600</v>
      </c>
      <c r="F384" s="86">
        <f t="shared" si="109"/>
        <v>4</v>
      </c>
      <c r="G384" s="86">
        <f t="shared" si="109"/>
        <v>0</v>
      </c>
      <c r="H384" s="86">
        <f t="shared" si="71"/>
        <v>120</v>
      </c>
      <c r="I384" s="86">
        <f t="shared" si="72"/>
        <v>0</v>
      </c>
      <c r="J384" s="86">
        <f t="shared" si="73"/>
        <v>0</v>
      </c>
      <c r="K384" s="86">
        <f t="shared" si="74"/>
        <v>1290521975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>
      <c r="A385" s="83">
        <v>38.0</v>
      </c>
      <c r="B385" s="85">
        <v>30.3</v>
      </c>
      <c r="C385" s="85">
        <v>1.0</v>
      </c>
      <c r="D385" s="85">
        <f t="shared" si="69"/>
        <v>64</v>
      </c>
      <c r="E385" s="84">
        <f t="shared" ref="E385:G385" si="110">B385^2</f>
        <v>918.09</v>
      </c>
      <c r="F385" s="86">
        <f t="shared" si="110"/>
        <v>1</v>
      </c>
      <c r="G385" s="86">
        <f t="shared" si="110"/>
        <v>4096</v>
      </c>
      <c r="H385" s="86">
        <f t="shared" si="71"/>
        <v>30.3</v>
      </c>
      <c r="I385" s="86">
        <f t="shared" si="72"/>
        <v>1939.2</v>
      </c>
      <c r="J385" s="86">
        <f t="shared" si="73"/>
        <v>64</v>
      </c>
      <c r="K385" s="86">
        <f t="shared" si="74"/>
        <v>287364866.2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>
      <c r="A386" s="83">
        <v>39.0</v>
      </c>
      <c r="B386" s="85">
        <v>33.3</v>
      </c>
      <c r="C386" s="85">
        <v>5.0</v>
      </c>
      <c r="D386" s="85">
        <f t="shared" si="69"/>
        <v>51</v>
      </c>
      <c r="E386" s="84">
        <f t="shared" ref="E386:G386" si="111">B386^2</f>
        <v>1108.89</v>
      </c>
      <c r="F386" s="86">
        <f t="shared" si="111"/>
        <v>25</v>
      </c>
      <c r="G386" s="86">
        <f t="shared" si="111"/>
        <v>2601</v>
      </c>
      <c r="H386" s="86">
        <f t="shared" si="71"/>
        <v>166.5</v>
      </c>
      <c r="I386" s="86">
        <f t="shared" si="72"/>
        <v>1698.3</v>
      </c>
      <c r="J386" s="86">
        <f t="shared" si="73"/>
        <v>255</v>
      </c>
      <c r="K386" s="86">
        <f t="shared" si="74"/>
        <v>25560062.92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>
      <c r="A387" s="83">
        <v>40.0</v>
      </c>
      <c r="B387" s="85">
        <v>58.9</v>
      </c>
      <c r="C387" s="85">
        <v>10.0</v>
      </c>
      <c r="D387" s="85">
        <f t="shared" si="69"/>
        <v>3</v>
      </c>
      <c r="E387" s="84">
        <f t="shared" ref="E387:G387" si="112">B387^2</f>
        <v>3469.21</v>
      </c>
      <c r="F387" s="86">
        <f t="shared" si="112"/>
        <v>100</v>
      </c>
      <c r="G387" s="86">
        <f t="shared" si="112"/>
        <v>9</v>
      </c>
      <c r="H387" s="86">
        <f t="shared" si="71"/>
        <v>589</v>
      </c>
      <c r="I387" s="86">
        <f t="shared" si="72"/>
        <v>176.7</v>
      </c>
      <c r="J387" s="86">
        <f t="shared" si="73"/>
        <v>30</v>
      </c>
      <c r="K387" s="86">
        <f t="shared" si="74"/>
        <v>2910630838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>
      <c r="A388" s="83">
        <v>41.0</v>
      </c>
      <c r="B388" s="85">
        <v>49.8</v>
      </c>
      <c r="C388" s="85">
        <v>2.0</v>
      </c>
      <c r="D388" s="85">
        <f t="shared" si="69"/>
        <v>35</v>
      </c>
      <c r="E388" s="84">
        <f t="shared" ref="E388:G388" si="113">B388^2</f>
        <v>2480.04</v>
      </c>
      <c r="F388" s="86">
        <f t="shared" si="113"/>
        <v>4</v>
      </c>
      <c r="G388" s="86">
        <f t="shared" si="113"/>
        <v>1225</v>
      </c>
      <c r="H388" s="86">
        <f t="shared" si="71"/>
        <v>99.6</v>
      </c>
      <c r="I388" s="86">
        <f t="shared" si="72"/>
        <v>1743</v>
      </c>
      <c r="J388" s="86">
        <f t="shared" si="73"/>
        <v>70</v>
      </c>
      <c r="K388" s="86">
        <f t="shared" si="74"/>
        <v>8626.480426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>
      <c r="A391" s="63" t="s">
        <v>97</v>
      </c>
      <c r="C391" s="64"/>
      <c r="D391" s="64"/>
      <c r="E391" s="64"/>
      <c r="F391" s="64"/>
      <c r="G391" s="64"/>
      <c r="H391" s="64"/>
      <c r="I391" s="6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>
      <c r="A393" s="65" t="s">
        <v>98</v>
      </c>
      <c r="B393" s="66"/>
      <c r="C393" s="64"/>
      <c r="D393" s="64"/>
      <c r="E393" s="64"/>
      <c r="F393" s="64"/>
      <c r="G393" s="64"/>
      <c r="H393" s="64"/>
      <c r="I393" s="6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>
      <c r="A394" s="63" t="s">
        <v>99</v>
      </c>
      <c r="B394" s="67">
        <v>0.37043</v>
      </c>
      <c r="C394" s="64"/>
      <c r="D394" s="64"/>
      <c r="E394" s="64"/>
      <c r="F394" s="64"/>
      <c r="G394" s="64"/>
      <c r="H394" s="64"/>
      <c r="I394" s="6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>
      <c r="A395" s="63" t="s">
        <v>100</v>
      </c>
      <c r="B395" s="67">
        <v>0.137218</v>
      </c>
      <c r="C395" s="64"/>
      <c r="D395" s="64"/>
      <c r="E395" s="64"/>
      <c r="F395" s="64"/>
      <c r="G395" s="64"/>
      <c r="H395" s="64"/>
      <c r="I395" s="6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>
      <c r="A396" s="63" t="s">
        <v>101</v>
      </c>
      <c r="B396" s="67">
        <v>-0.11327</v>
      </c>
      <c r="C396" s="64"/>
      <c r="D396" s="64"/>
      <c r="E396" s="64"/>
      <c r="F396" s="64"/>
      <c r="G396" s="64"/>
      <c r="H396" s="64"/>
      <c r="I396" s="64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>
      <c r="A397" s="63" t="s">
        <v>102</v>
      </c>
      <c r="B397" s="87">
        <v>8.83E10</v>
      </c>
      <c r="C397" s="64"/>
      <c r="D397" s="64"/>
      <c r="E397" s="64"/>
      <c r="F397" s="64"/>
      <c r="G397" s="64"/>
      <c r="H397" s="64"/>
      <c r="I397" s="6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>
      <c r="A398" s="68" t="s">
        <v>103</v>
      </c>
      <c r="B398" s="69">
        <v>41.0</v>
      </c>
      <c r="C398" s="64"/>
      <c r="D398" s="64"/>
      <c r="E398" s="64"/>
      <c r="F398" s="64"/>
      <c r="G398" s="64"/>
      <c r="H398" s="64"/>
      <c r="I398" s="64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>
      <c r="A400" s="63" t="s">
        <v>104</v>
      </c>
      <c r="D400" s="64"/>
      <c r="E400" s="64"/>
      <c r="F400" s="64"/>
      <c r="G400" s="64"/>
      <c r="H400" s="64"/>
      <c r="I400" s="6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>
      <c r="A401" s="70"/>
      <c r="B401" s="65" t="s">
        <v>14</v>
      </c>
      <c r="C401" s="65" t="s">
        <v>15</v>
      </c>
      <c r="D401" s="65" t="s">
        <v>16</v>
      </c>
      <c r="E401" s="65" t="s">
        <v>17</v>
      </c>
      <c r="F401" s="65" t="s">
        <v>105</v>
      </c>
      <c r="G401" s="64"/>
      <c r="H401" s="64"/>
      <c r="I401" s="64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>
      <c r="A402" s="63" t="s">
        <v>106</v>
      </c>
      <c r="B402" s="67">
        <v>9.0</v>
      </c>
      <c r="C402" s="87">
        <v>3.85E22</v>
      </c>
      <c r="D402" s="87">
        <v>4.28E21</v>
      </c>
      <c r="E402" s="67">
        <v>0.54781</v>
      </c>
      <c r="F402" s="67">
        <v>0.828</v>
      </c>
      <c r="G402" s="64"/>
      <c r="H402" s="64"/>
      <c r="I402" s="64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>
      <c r="A403" s="63" t="s">
        <v>107</v>
      </c>
      <c r="B403" s="67">
        <v>31.0</v>
      </c>
      <c r="C403" s="87">
        <v>2.42E23</v>
      </c>
      <c r="D403" s="87">
        <v>7.81E21</v>
      </c>
      <c r="E403" s="64"/>
      <c r="F403" s="64"/>
      <c r="G403" s="64"/>
      <c r="H403" s="64"/>
      <c r="I403" s="64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>
      <c r="A404" s="68" t="s">
        <v>108</v>
      </c>
      <c r="B404" s="69">
        <v>40.0</v>
      </c>
      <c r="C404" s="88">
        <v>2.8E23</v>
      </c>
      <c r="D404" s="71"/>
      <c r="E404" s="71"/>
      <c r="F404" s="71"/>
      <c r="G404" s="64"/>
      <c r="H404" s="64"/>
      <c r="I404" s="6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>
      <c r="A406" s="70"/>
      <c r="B406" s="65" t="s">
        <v>109</v>
      </c>
      <c r="C406" s="65" t="s">
        <v>102</v>
      </c>
      <c r="D406" s="65" t="s">
        <v>110</v>
      </c>
      <c r="E406" s="65" t="s">
        <v>111</v>
      </c>
      <c r="F406" s="65" t="s">
        <v>112</v>
      </c>
      <c r="G406" s="65" t="s">
        <v>113</v>
      </c>
      <c r="H406" s="65" t="s">
        <v>114</v>
      </c>
      <c r="I406" s="65" t="s">
        <v>115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>
      <c r="A407" s="63" t="s">
        <v>116</v>
      </c>
      <c r="B407" s="87">
        <v>1.96E11</v>
      </c>
      <c r="C407" s="87">
        <v>1.4E11</v>
      </c>
      <c r="D407" s="67">
        <v>1.403771</v>
      </c>
      <c r="E407" s="67">
        <v>0.170326</v>
      </c>
      <c r="F407" s="87">
        <v>-8.9E10</v>
      </c>
      <c r="G407" s="87">
        <v>4.81E11</v>
      </c>
      <c r="H407" s="87">
        <v>-8.9E10</v>
      </c>
      <c r="I407" s="87">
        <v>4.81E11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>
      <c r="A408" s="63" t="s">
        <v>1</v>
      </c>
      <c r="B408" s="87">
        <v>-4.7E9</v>
      </c>
      <c r="C408" s="87">
        <v>3.15E9</v>
      </c>
      <c r="D408" s="67">
        <v>-1.48908</v>
      </c>
      <c r="E408" s="67">
        <v>0.146572</v>
      </c>
      <c r="F408" s="87">
        <v>-1.1E10</v>
      </c>
      <c r="G408" s="87">
        <v>1.74E9</v>
      </c>
      <c r="H408" s="87">
        <v>-1.1E10</v>
      </c>
      <c r="I408" s="87">
        <v>1.74E9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>
      <c r="A409" s="63" t="s">
        <v>2</v>
      </c>
      <c r="B409" s="87">
        <v>6.07E9</v>
      </c>
      <c r="C409" s="87">
        <v>9.1E9</v>
      </c>
      <c r="D409" s="67">
        <v>0.667139</v>
      </c>
      <c r="E409" s="67">
        <v>0.509619</v>
      </c>
      <c r="F409" s="87">
        <v>-1.2E10</v>
      </c>
      <c r="G409" s="87">
        <v>2.46E10</v>
      </c>
      <c r="H409" s="87">
        <v>-1.2E10</v>
      </c>
      <c r="I409" s="87">
        <v>2.46E10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>
      <c r="A410" s="63" t="s">
        <v>3</v>
      </c>
      <c r="B410" s="87">
        <v>-5.4E9</v>
      </c>
      <c r="C410" s="87">
        <v>5.23E9</v>
      </c>
      <c r="D410" s="67">
        <v>-1.02501</v>
      </c>
      <c r="E410" s="67">
        <v>0.313289</v>
      </c>
      <c r="F410" s="87">
        <v>-1.6E10</v>
      </c>
      <c r="G410" s="87">
        <v>5.31E9</v>
      </c>
      <c r="H410" s="87">
        <v>-1.6E10</v>
      </c>
      <c r="I410" s="87">
        <v>5.31E9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>
      <c r="A411" s="63" t="s">
        <v>90</v>
      </c>
      <c r="B411" s="67">
        <v>1.7004179E7</v>
      </c>
      <c r="C411" s="67">
        <v>1.3515496E7</v>
      </c>
      <c r="D411" s="67">
        <v>1.258125</v>
      </c>
      <c r="E411" s="67">
        <v>0.217741</v>
      </c>
      <c r="F411" s="87">
        <v>-1.1E7</v>
      </c>
      <c r="G411" s="67">
        <v>4.4569215E7</v>
      </c>
      <c r="H411" s="87">
        <v>-1.1E7</v>
      </c>
      <c r="I411" s="67">
        <v>4.4569215E7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>
      <c r="A412" s="63" t="s">
        <v>91</v>
      </c>
      <c r="B412" s="87">
        <v>-4.4E8</v>
      </c>
      <c r="C412" s="87">
        <v>3.34E8</v>
      </c>
      <c r="D412" s="67">
        <v>-1.30849</v>
      </c>
      <c r="E412" s="67">
        <v>0.200325</v>
      </c>
      <c r="F412" s="87">
        <v>-1.1E9</v>
      </c>
      <c r="G412" s="87">
        <v>2.44E8</v>
      </c>
      <c r="H412" s="87">
        <v>-1.1E9</v>
      </c>
      <c r="I412" s="87">
        <v>2.44E8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>
      <c r="A413" s="63" t="s">
        <v>92</v>
      </c>
      <c r="B413" s="67">
        <v>3.8007767E7</v>
      </c>
      <c r="C413" s="67">
        <v>5.4149053E7</v>
      </c>
      <c r="D413" s="67">
        <v>0.70191</v>
      </c>
      <c r="E413" s="67">
        <v>0.487972</v>
      </c>
      <c r="F413" s="87">
        <v>-7.2E7</v>
      </c>
      <c r="G413" s="87">
        <v>1.48E8</v>
      </c>
      <c r="H413" s="87">
        <v>-7.2E7</v>
      </c>
      <c r="I413" s="87">
        <v>1.48E8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>
      <c r="A414" s="63" t="s">
        <v>93</v>
      </c>
      <c r="B414" s="67">
        <v>9.3955533E7</v>
      </c>
      <c r="C414" s="67">
        <v>7.3625635E7</v>
      </c>
      <c r="D414" s="67">
        <v>1.276125</v>
      </c>
      <c r="E414" s="67">
        <v>0.21139</v>
      </c>
      <c r="F414" s="87">
        <v>-5.6E7</v>
      </c>
      <c r="G414" s="87">
        <v>2.44E8</v>
      </c>
      <c r="H414" s="87">
        <v>-5.6E7</v>
      </c>
      <c r="I414" s="87">
        <v>2.44E8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>
      <c r="A415" s="63" t="s">
        <v>94</v>
      </c>
      <c r="B415" s="67">
        <v>7.2202878E7</v>
      </c>
      <c r="C415" s="67">
        <v>6.1470028E7</v>
      </c>
      <c r="D415" s="67">
        <v>1.174603</v>
      </c>
      <c r="E415" s="67">
        <v>0.249098</v>
      </c>
      <c r="F415" s="87">
        <v>-5.3E7</v>
      </c>
      <c r="G415" s="87">
        <v>1.98E8</v>
      </c>
      <c r="H415" s="87">
        <v>-5.3E7</v>
      </c>
      <c r="I415" s="87">
        <v>1.98E8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>
      <c r="A416" s="68" t="s">
        <v>95</v>
      </c>
      <c r="B416" s="88">
        <v>-2.3E8</v>
      </c>
      <c r="C416" s="88">
        <v>2.83E8</v>
      </c>
      <c r="D416" s="69">
        <v>-0.80783</v>
      </c>
      <c r="E416" s="69">
        <v>0.425344</v>
      </c>
      <c r="F416" s="88">
        <v>-8.1E8</v>
      </c>
      <c r="G416" s="88">
        <v>3.49E8</v>
      </c>
      <c r="H416" s="88">
        <v>-8.1E8</v>
      </c>
      <c r="I416" s="88">
        <v>3.49E8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>
      <c r="A420" s="63" t="s">
        <v>117</v>
      </c>
      <c r="C420" s="64"/>
      <c r="D420" s="64"/>
      <c r="E420" s="64"/>
      <c r="F420" s="64"/>
      <c r="G420" s="64"/>
      <c r="H420" s="64"/>
      <c r="I420" s="64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>
      <c r="A422" s="65" t="s">
        <v>118</v>
      </c>
      <c r="B422" s="65" t="s">
        <v>119</v>
      </c>
      <c r="C422" s="65" t="s">
        <v>120</v>
      </c>
      <c r="D422" s="64"/>
      <c r="E422" s="64"/>
      <c r="F422" s="64"/>
      <c r="G422" s="64"/>
      <c r="H422" s="64"/>
      <c r="I422" s="6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>
      <c r="A423" s="67">
        <v>1.0</v>
      </c>
      <c r="B423" s="87">
        <v>-3.7E9</v>
      </c>
      <c r="C423" s="87">
        <v>8.95E9</v>
      </c>
      <c r="D423" s="64"/>
      <c r="E423" s="64"/>
      <c r="F423" s="64"/>
      <c r="G423" s="64"/>
      <c r="H423" s="64"/>
      <c r="I423" s="64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>
      <c r="A424" s="67">
        <v>2.0</v>
      </c>
      <c r="B424" s="87">
        <v>-1.8E10</v>
      </c>
      <c r="C424" s="87">
        <v>1.81E10</v>
      </c>
      <c r="D424" s="64"/>
      <c r="E424" s="64"/>
      <c r="F424" s="64"/>
      <c r="G424" s="64"/>
      <c r="H424" s="64"/>
      <c r="I424" s="64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>
      <c r="A425" s="67">
        <v>3.0</v>
      </c>
      <c r="B425" s="87">
        <v>-3.7E10</v>
      </c>
      <c r="C425" s="87">
        <v>3.67E10</v>
      </c>
      <c r="D425" s="64"/>
      <c r="E425" s="64"/>
      <c r="F425" s="64"/>
      <c r="G425" s="64"/>
      <c r="H425" s="64"/>
      <c r="I425" s="6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>
      <c r="A426" s="67">
        <v>4.0</v>
      </c>
      <c r="B426" s="87">
        <v>1.33E10</v>
      </c>
      <c r="C426" s="87">
        <v>-1.3E10</v>
      </c>
      <c r="D426" s="64"/>
      <c r="E426" s="64"/>
      <c r="F426" s="64"/>
      <c r="G426" s="64"/>
      <c r="H426" s="64"/>
      <c r="I426" s="6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>
      <c r="A427" s="67">
        <v>5.0</v>
      </c>
      <c r="B427" s="87">
        <v>-9.6E9</v>
      </c>
      <c r="C427" s="87">
        <v>9.64E9</v>
      </c>
      <c r="D427" s="64"/>
      <c r="E427" s="64"/>
      <c r="F427" s="64"/>
      <c r="G427" s="64"/>
      <c r="H427" s="64"/>
      <c r="I427" s="6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>
      <c r="A428" s="67">
        <v>6.0</v>
      </c>
      <c r="B428" s="87">
        <v>-3.4E8</v>
      </c>
      <c r="C428" s="87">
        <v>2.73E10</v>
      </c>
      <c r="D428" s="64"/>
      <c r="E428" s="64"/>
      <c r="F428" s="64"/>
      <c r="G428" s="64"/>
      <c r="H428" s="64"/>
      <c r="I428" s="64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>
      <c r="A429" s="67">
        <v>7.0</v>
      </c>
      <c r="B429" s="87">
        <v>-4.9E9</v>
      </c>
      <c r="C429" s="87">
        <v>4.89E9</v>
      </c>
      <c r="D429" s="64"/>
      <c r="E429" s="64"/>
      <c r="F429" s="64"/>
      <c r="G429" s="64"/>
      <c r="H429" s="64"/>
      <c r="I429" s="6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>
      <c r="A430" s="67">
        <v>8.0</v>
      </c>
      <c r="B430" s="87">
        <v>8.74E10</v>
      </c>
      <c r="C430" s="87">
        <v>4.5E11</v>
      </c>
      <c r="D430" s="64"/>
      <c r="E430" s="64"/>
      <c r="F430" s="64"/>
      <c r="G430" s="64"/>
      <c r="H430" s="64"/>
      <c r="I430" s="6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>
      <c r="A431" s="67">
        <v>9.0</v>
      </c>
      <c r="B431" s="87">
        <v>4.64E10</v>
      </c>
      <c r="C431" s="87">
        <v>-4.6E10</v>
      </c>
      <c r="D431" s="64"/>
      <c r="E431" s="64"/>
      <c r="F431" s="64"/>
      <c r="G431" s="64"/>
      <c r="H431" s="64"/>
      <c r="I431" s="64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>
      <c r="A432" s="67">
        <v>10.0</v>
      </c>
      <c r="B432" s="87">
        <v>-2.0E9</v>
      </c>
      <c r="C432" s="87">
        <v>2.55E9</v>
      </c>
      <c r="D432" s="64"/>
      <c r="E432" s="64"/>
      <c r="F432" s="64"/>
      <c r="G432" s="64"/>
      <c r="H432" s="64"/>
      <c r="I432" s="64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>
      <c r="A433" s="67">
        <v>11.0</v>
      </c>
      <c r="B433" s="87">
        <v>5.85E9</v>
      </c>
      <c r="C433" s="87">
        <v>-3.9E9</v>
      </c>
      <c r="D433" s="64"/>
      <c r="E433" s="64"/>
      <c r="F433" s="64"/>
      <c r="G433" s="64"/>
      <c r="H433" s="64"/>
      <c r="I433" s="64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>
      <c r="A434" s="67">
        <v>12.0</v>
      </c>
      <c r="B434" s="87">
        <v>-1.6E10</v>
      </c>
      <c r="C434" s="87">
        <v>1.78E10</v>
      </c>
      <c r="D434" s="64"/>
      <c r="E434" s="64"/>
      <c r="F434" s="64"/>
      <c r="G434" s="64"/>
      <c r="H434" s="64"/>
      <c r="I434" s="64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>
      <c r="A435" s="67">
        <v>13.0</v>
      </c>
      <c r="B435" s="87">
        <v>8.89E10</v>
      </c>
      <c r="C435" s="87">
        <v>-8.9E10</v>
      </c>
      <c r="D435" s="64"/>
      <c r="E435" s="64"/>
      <c r="F435" s="64"/>
      <c r="G435" s="64"/>
      <c r="H435" s="64"/>
      <c r="I435" s="64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>
      <c r="A436" s="67">
        <v>14.0</v>
      </c>
      <c r="B436" s="87">
        <v>2.55E10</v>
      </c>
      <c r="C436" s="87">
        <v>-2.5E10</v>
      </c>
      <c r="D436" s="64"/>
      <c r="E436" s="64"/>
      <c r="F436" s="64"/>
      <c r="G436" s="64"/>
      <c r="H436" s="64"/>
      <c r="I436" s="6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>
      <c r="A437" s="67">
        <v>15.0</v>
      </c>
      <c r="B437" s="87">
        <v>-2.3E10</v>
      </c>
      <c r="C437" s="87">
        <v>2.89E10</v>
      </c>
      <c r="D437" s="64"/>
      <c r="E437" s="64"/>
      <c r="F437" s="64"/>
      <c r="G437" s="64"/>
      <c r="H437" s="64"/>
      <c r="I437" s="64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>
      <c r="A438" s="67">
        <v>16.0</v>
      </c>
      <c r="B438" s="87">
        <v>1.65E10</v>
      </c>
      <c r="C438" s="87">
        <v>-1.6E10</v>
      </c>
      <c r="D438" s="64"/>
      <c r="E438" s="64"/>
      <c r="F438" s="64"/>
      <c r="G438" s="64"/>
      <c r="H438" s="64"/>
      <c r="I438" s="64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>
      <c r="A439" s="67">
        <v>17.0</v>
      </c>
      <c r="B439" s="87">
        <v>6.08E10</v>
      </c>
      <c r="C439" s="87">
        <v>-5.8E10</v>
      </c>
      <c r="D439" s="64"/>
      <c r="E439" s="64"/>
      <c r="F439" s="64"/>
      <c r="G439" s="64"/>
      <c r="H439" s="64"/>
      <c r="I439" s="6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>
      <c r="A440" s="67">
        <v>18.0</v>
      </c>
      <c r="B440" s="87">
        <v>1.29E10</v>
      </c>
      <c r="C440" s="87">
        <v>-1.1E10</v>
      </c>
      <c r="D440" s="64"/>
      <c r="E440" s="64"/>
      <c r="F440" s="64"/>
      <c r="G440" s="64"/>
      <c r="H440" s="64"/>
      <c r="I440" s="6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>
      <c r="A441" s="67">
        <v>19.0</v>
      </c>
      <c r="B441" s="87">
        <v>5.24E10</v>
      </c>
      <c r="C441" s="87">
        <v>-5.0E10</v>
      </c>
      <c r="D441" s="64"/>
      <c r="E441" s="64"/>
      <c r="F441" s="64"/>
      <c r="G441" s="64"/>
      <c r="H441" s="64"/>
      <c r="I441" s="64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>
      <c r="A442" s="67">
        <v>20.0</v>
      </c>
      <c r="B442" s="87">
        <v>3.9E10</v>
      </c>
      <c r="C442" s="87">
        <v>-3.6E10</v>
      </c>
      <c r="D442" s="64"/>
      <c r="E442" s="64"/>
      <c r="F442" s="64"/>
      <c r="G442" s="64"/>
      <c r="H442" s="64"/>
      <c r="I442" s="64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>
      <c r="A443" s="67">
        <v>21.0</v>
      </c>
      <c r="B443" s="87">
        <v>1.2E10</v>
      </c>
      <c r="C443" s="87">
        <v>-1.1E10</v>
      </c>
      <c r="D443" s="64"/>
      <c r="E443" s="64"/>
      <c r="F443" s="64"/>
      <c r="G443" s="64"/>
      <c r="H443" s="64"/>
      <c r="I443" s="64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>
      <c r="A444" s="67">
        <v>22.0</v>
      </c>
      <c r="B444" s="87">
        <v>4.32E10</v>
      </c>
      <c r="C444" s="87">
        <v>-4.1E10</v>
      </c>
      <c r="D444" s="64"/>
      <c r="E444" s="64"/>
      <c r="F444" s="64"/>
      <c r="G444" s="64"/>
      <c r="H444" s="64"/>
      <c r="I444" s="64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>
      <c r="A445" s="67">
        <v>23.0</v>
      </c>
      <c r="B445" s="87">
        <v>-1.0E8</v>
      </c>
      <c r="C445" s="87">
        <v>3.24E9</v>
      </c>
      <c r="D445" s="64"/>
      <c r="E445" s="64"/>
      <c r="F445" s="64"/>
      <c r="G445" s="64"/>
      <c r="H445" s="64"/>
      <c r="I445" s="64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>
      <c r="A446" s="67">
        <v>24.0</v>
      </c>
      <c r="B446" s="87">
        <v>1.59E9</v>
      </c>
      <c r="C446" s="87">
        <v>-5.0E8</v>
      </c>
      <c r="D446" s="64"/>
      <c r="E446" s="64"/>
      <c r="F446" s="64"/>
      <c r="G446" s="64"/>
      <c r="H446" s="64"/>
      <c r="I446" s="64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>
      <c r="A447" s="67">
        <v>25.0</v>
      </c>
      <c r="B447" s="87">
        <v>-3.2E8</v>
      </c>
      <c r="C447" s="87">
        <v>5.67E8</v>
      </c>
      <c r="D447" s="64"/>
      <c r="E447" s="64"/>
      <c r="F447" s="64"/>
      <c r="G447" s="64"/>
      <c r="H447" s="64"/>
      <c r="I447" s="64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>
      <c r="A448" s="67">
        <v>26.0</v>
      </c>
      <c r="B448" s="87">
        <v>-3.8E10</v>
      </c>
      <c r="C448" s="87">
        <v>3.85E10</v>
      </c>
      <c r="D448" s="64"/>
      <c r="E448" s="64"/>
      <c r="F448" s="64"/>
      <c r="G448" s="64"/>
      <c r="H448" s="64"/>
      <c r="I448" s="64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>
      <c r="A449" s="67">
        <v>27.0</v>
      </c>
      <c r="B449" s="87">
        <v>1.05E10</v>
      </c>
      <c r="C449" s="87">
        <v>-1.0E10</v>
      </c>
      <c r="D449" s="64"/>
      <c r="E449" s="64"/>
      <c r="F449" s="64"/>
      <c r="G449" s="64"/>
      <c r="H449" s="64"/>
      <c r="I449" s="6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>
      <c r="A450" s="67">
        <v>28.0</v>
      </c>
      <c r="B450" s="87">
        <v>9.28E10</v>
      </c>
      <c r="C450" s="87">
        <v>-9.1E10</v>
      </c>
      <c r="D450" s="64"/>
      <c r="E450" s="64"/>
      <c r="F450" s="64"/>
      <c r="G450" s="64"/>
      <c r="H450" s="64"/>
      <c r="I450" s="6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>
      <c r="A451" s="67">
        <v>29.0</v>
      </c>
      <c r="B451" s="87">
        <v>1.88E10</v>
      </c>
      <c r="C451" s="87">
        <v>-1.5E10</v>
      </c>
      <c r="D451" s="64"/>
      <c r="E451" s="64"/>
      <c r="F451" s="64"/>
      <c r="G451" s="64"/>
      <c r="H451" s="64"/>
      <c r="I451" s="64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>
      <c r="A452" s="67">
        <v>30.0</v>
      </c>
      <c r="B452" s="87">
        <v>3.19E10</v>
      </c>
      <c r="C452" s="87">
        <v>-2.9E10</v>
      </c>
      <c r="D452" s="64"/>
      <c r="E452" s="64"/>
      <c r="F452" s="64"/>
      <c r="G452" s="64"/>
      <c r="H452" s="64"/>
      <c r="I452" s="64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>
      <c r="A453" s="67">
        <v>31.0</v>
      </c>
      <c r="B453" s="87">
        <v>1.17E10</v>
      </c>
      <c r="C453" s="87">
        <v>-6.2E9</v>
      </c>
      <c r="D453" s="64"/>
      <c r="E453" s="64"/>
      <c r="F453" s="64"/>
      <c r="G453" s="64"/>
      <c r="H453" s="64"/>
      <c r="I453" s="6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>
      <c r="A454" s="67">
        <v>32.0</v>
      </c>
      <c r="B454" s="87">
        <v>4.59E10</v>
      </c>
      <c r="C454" s="87">
        <v>-4.3E10</v>
      </c>
      <c r="D454" s="64"/>
      <c r="E454" s="64"/>
      <c r="F454" s="64"/>
      <c r="G454" s="64"/>
      <c r="H454" s="64"/>
      <c r="I454" s="6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>
      <c r="A455" s="67">
        <v>33.0</v>
      </c>
      <c r="B455" s="87">
        <v>6.8E9</v>
      </c>
      <c r="C455" s="87">
        <v>-5.2E9</v>
      </c>
      <c r="D455" s="64"/>
      <c r="E455" s="64"/>
      <c r="F455" s="64"/>
      <c r="G455" s="64"/>
      <c r="H455" s="64"/>
      <c r="I455" s="64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>
      <c r="A456" s="67">
        <v>34.0</v>
      </c>
      <c r="B456" s="87">
        <v>3.41E9</v>
      </c>
      <c r="C456" s="87">
        <v>-3.3E9</v>
      </c>
      <c r="D456" s="64"/>
      <c r="E456" s="64"/>
      <c r="F456" s="64"/>
      <c r="G456" s="64"/>
      <c r="H456" s="64"/>
      <c r="I456" s="64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>
      <c r="A457" s="67">
        <v>35.0</v>
      </c>
      <c r="B457" s="87">
        <v>2.9E9</v>
      </c>
      <c r="C457" s="87">
        <v>-2.8E9</v>
      </c>
      <c r="D457" s="64"/>
      <c r="E457" s="64"/>
      <c r="F457" s="64"/>
      <c r="G457" s="64"/>
      <c r="H457" s="64"/>
      <c r="I457" s="6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>
      <c r="A458" s="67">
        <v>36.0</v>
      </c>
      <c r="B458" s="87">
        <v>2.28E10</v>
      </c>
      <c r="C458" s="87">
        <v>-1.5E10</v>
      </c>
      <c r="D458" s="64"/>
      <c r="E458" s="64"/>
      <c r="F458" s="64"/>
      <c r="G458" s="64"/>
      <c r="H458" s="64"/>
      <c r="I458" s="6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>
      <c r="A459" s="67">
        <v>37.0</v>
      </c>
      <c r="B459" s="87">
        <v>-2.7E9</v>
      </c>
      <c r="C459" s="87">
        <v>4.03E9</v>
      </c>
      <c r="D459" s="64"/>
      <c r="E459" s="64"/>
      <c r="F459" s="64"/>
      <c r="G459" s="64"/>
      <c r="H459" s="64"/>
      <c r="I459" s="6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>
      <c r="A460" s="67">
        <v>38.0</v>
      </c>
      <c r="B460" s="87">
        <v>1.55E10</v>
      </c>
      <c r="C460" s="87">
        <v>-1.5E10</v>
      </c>
      <c r="D460" s="64"/>
      <c r="E460" s="64"/>
      <c r="F460" s="64"/>
      <c r="G460" s="64"/>
      <c r="H460" s="64"/>
      <c r="I460" s="64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>
      <c r="A461" s="67">
        <v>39.0</v>
      </c>
      <c r="B461" s="87">
        <v>-1.7E10</v>
      </c>
      <c r="C461" s="87">
        <v>1.69E10</v>
      </c>
      <c r="D461" s="64"/>
      <c r="E461" s="64"/>
      <c r="F461" s="64"/>
      <c r="G461" s="64"/>
      <c r="H461" s="64"/>
      <c r="I461" s="64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>
      <c r="A462" s="67">
        <v>40.0</v>
      </c>
      <c r="B462" s="87">
        <v>4.11E10</v>
      </c>
      <c r="C462" s="87">
        <v>-3.8E10</v>
      </c>
      <c r="D462" s="64"/>
      <c r="E462" s="64"/>
      <c r="F462" s="64"/>
      <c r="G462" s="64"/>
      <c r="H462" s="64"/>
      <c r="I462" s="6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>
      <c r="A463" s="69">
        <v>41.0</v>
      </c>
      <c r="B463" s="88">
        <v>-7.2E9</v>
      </c>
      <c r="C463" s="88">
        <v>7.22E9</v>
      </c>
      <c r="D463" s="64"/>
      <c r="E463" s="64"/>
      <c r="F463" s="64"/>
      <c r="G463" s="64"/>
      <c r="H463" s="64"/>
      <c r="I463" s="64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>
      <c r="A465" s="26" t="s">
        <v>121</v>
      </c>
      <c r="B465" s="25">
        <f> 41 * B395</f>
        <v>5.625938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>
      <c r="A466" s="26" t="s">
        <v>122</v>
      </c>
      <c r="B466" s="25">
        <f>_xlfn.CHISQ.INV.RT(0.05, 41-9-1)
</f>
        <v>44.98534328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>
      <c r="A468" s="26" t="s">
        <v>88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</sheetData>
  <mergeCells count="6">
    <mergeCell ref="K49:M49"/>
    <mergeCell ref="A156:B156"/>
    <mergeCell ref="A391:B391"/>
    <mergeCell ref="A393:B393"/>
    <mergeCell ref="A400:C400"/>
    <mergeCell ref="A420:B4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>
        <v>1.0</v>
      </c>
      <c r="B2" s="4">
        <v>12.0</v>
      </c>
      <c r="C2" s="4">
        <v>2.0</v>
      </c>
      <c r="D2" s="4">
        <v>8.0</v>
      </c>
      <c r="E2" s="4">
        <v>139.0</v>
      </c>
      <c r="F2" s="3"/>
      <c r="G2" s="5" t="s">
        <v>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>
        <v>2.0</v>
      </c>
      <c r="B3" s="4">
        <v>17.0</v>
      </c>
      <c r="C3" s="4">
        <v>5.0</v>
      </c>
      <c r="D3" s="4">
        <v>12.0</v>
      </c>
      <c r="E3" s="4">
        <v>182.0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>
        <v>3.0</v>
      </c>
      <c r="B4" s="4">
        <v>14.0</v>
      </c>
      <c r="C4" s="4">
        <v>6.0</v>
      </c>
      <c r="D4" s="4">
        <v>11.0</v>
      </c>
      <c r="E4" s="4">
        <v>164.0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>
        <v>4.0</v>
      </c>
      <c r="B5" s="4">
        <v>13.0</v>
      </c>
      <c r="C5" s="4">
        <v>4.0</v>
      </c>
      <c r="D5" s="4">
        <v>9.0</v>
      </c>
      <c r="E5" s="4">
        <v>150.0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>
        <v>5.0</v>
      </c>
      <c r="B6" s="4">
        <v>16.0</v>
      </c>
      <c r="C6" s="4">
        <v>3.0</v>
      </c>
      <c r="D6" s="4">
        <v>12.0</v>
      </c>
      <c r="E6" s="4">
        <v>176.0</v>
      </c>
      <c r="F6" s="3"/>
      <c r="G6" s="3"/>
      <c r="H6" s="3"/>
      <c r="I6" s="3"/>
      <c r="J6" s="3"/>
      <c r="K6" s="3"/>
      <c r="L6" s="3"/>
      <c r="M6" s="5" t="s">
        <v>5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>
        <v>6.0</v>
      </c>
      <c r="B7" s="4">
        <v>15.0</v>
      </c>
      <c r="C7" s="4">
        <v>2.0</v>
      </c>
      <c r="D7" s="4">
        <v>9.0</v>
      </c>
      <c r="E7" s="4">
        <v>168.0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>
        <v>7.0</v>
      </c>
      <c r="B8" s="4">
        <v>13.0</v>
      </c>
      <c r="C8" s="4">
        <v>6.0</v>
      </c>
      <c r="D8" s="4">
        <v>10.0</v>
      </c>
      <c r="E8" s="4">
        <v>173.0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>
        <v>8.0</v>
      </c>
      <c r="B9" s="4">
        <v>11.0</v>
      </c>
      <c r="C9" s="4">
        <v>5.0</v>
      </c>
      <c r="D9" s="4">
        <v>13.0</v>
      </c>
      <c r="E9" s="4">
        <v>145.0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>
        <v>9.0</v>
      </c>
      <c r="B10" s="4">
        <v>15.0</v>
      </c>
      <c r="C10" s="4">
        <v>4.0</v>
      </c>
      <c r="D10" s="4">
        <v>10.0</v>
      </c>
      <c r="E10" s="4">
        <v>175.0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>
        <v>10.0</v>
      </c>
      <c r="B11" s="4">
        <v>13.0</v>
      </c>
      <c r="C11" s="4">
        <v>6.0</v>
      </c>
      <c r="D11" s="4">
        <v>11.0</v>
      </c>
      <c r="E11" s="4">
        <v>157.0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4">
        <v>11.0</v>
      </c>
      <c r="B12" s="4">
        <v>12.0</v>
      </c>
      <c r="C12" s="4">
        <v>5.0</v>
      </c>
      <c r="D12" s="4">
        <v>14.0</v>
      </c>
      <c r="E12" s="4">
        <v>142.0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4">
        <v>12.0</v>
      </c>
      <c r="B13" s="4">
        <v>15.0</v>
      </c>
      <c r="C13" s="4">
        <v>3.0</v>
      </c>
      <c r="D13" s="4">
        <v>14.0</v>
      </c>
      <c r="E13" s="4">
        <v>151.0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4">
        <v>13.0</v>
      </c>
      <c r="B14" s="4">
        <v>13.0</v>
      </c>
      <c r="C14" s="4">
        <v>2.0</v>
      </c>
      <c r="D14" s="4">
        <v>8.0</v>
      </c>
      <c r="E14" s="4">
        <v>148.0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4">
        <v>14.0</v>
      </c>
      <c r="B15" s="4">
        <v>16.0</v>
      </c>
      <c r="C15" s="4">
        <v>5.0</v>
      </c>
      <c r="D15" s="4">
        <v>11.0</v>
      </c>
      <c r="E15" s="4">
        <v>186.0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4">
        <v>15.0</v>
      </c>
      <c r="B16" s="4">
        <v>17.0</v>
      </c>
      <c r="C16" s="4">
        <v>5.0</v>
      </c>
      <c r="D16" s="4">
        <v>10.0</v>
      </c>
      <c r="E16" s="4">
        <v>201.0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4">
        <v>16.0</v>
      </c>
      <c r="B17" s="4">
        <v>15.0</v>
      </c>
      <c r="C17" s="4">
        <v>4.0</v>
      </c>
      <c r="D17" s="4">
        <v>13.0</v>
      </c>
      <c r="E17" s="4">
        <v>169.0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4">
        <v>17.0</v>
      </c>
      <c r="B18" s="4">
        <v>11.0</v>
      </c>
      <c r="C18" s="4">
        <v>5.0</v>
      </c>
      <c r="D18" s="4">
        <v>12.0</v>
      </c>
      <c r="E18" s="4">
        <v>160.0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4">
        <v>18.0</v>
      </c>
      <c r="B19" s="4">
        <v>14.0</v>
      </c>
      <c r="C19" s="4">
        <v>4.0</v>
      </c>
      <c r="D19" s="4">
        <v>12.0</v>
      </c>
      <c r="E19" s="4">
        <v>151.0</v>
      </c>
      <c r="F19" s="3"/>
      <c r="G19" s="3"/>
      <c r="H19" s="3"/>
      <c r="I19" s="3"/>
      <c r="J19" s="3"/>
      <c r="K19" s="3"/>
      <c r="L19" s="3"/>
      <c r="M19" s="6"/>
      <c r="P19" s="3"/>
      <c r="Q19" s="3"/>
      <c r="R19" s="3"/>
      <c r="S19" s="3"/>
      <c r="T19" s="3"/>
      <c r="U19" s="3"/>
      <c r="V19" s="3"/>
      <c r="W19" s="3"/>
    </row>
    <row r="20">
      <c r="A20" s="4">
        <v>19.0</v>
      </c>
      <c r="B20" s="4">
        <v>13.0</v>
      </c>
      <c r="C20" s="4">
        <v>2.0</v>
      </c>
      <c r="D20" s="4">
        <v>14.0</v>
      </c>
      <c r="E20" s="4">
        <v>129.0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4">
        <v>20.0</v>
      </c>
      <c r="B21" s="4">
        <v>15.0</v>
      </c>
      <c r="C21" s="4">
        <v>3.0</v>
      </c>
      <c r="D21" s="4">
        <v>11.0</v>
      </c>
      <c r="E21" s="4">
        <v>163.0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8"/>
      <c r="Q21" s="3"/>
      <c r="R21" s="3"/>
      <c r="S21" s="3"/>
      <c r="T21" s="3"/>
      <c r="U21" s="3"/>
      <c r="V21" s="3"/>
      <c r="W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8"/>
      <c r="Q22" s="3"/>
      <c r="R22" s="3"/>
      <c r="S22" s="3"/>
      <c r="T22" s="3"/>
      <c r="U22" s="3"/>
      <c r="V22" s="3"/>
      <c r="W22" s="3"/>
    </row>
    <row r="23">
      <c r="A23" s="3" t="s">
        <v>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8"/>
      <c r="Q23" s="3"/>
      <c r="R23" s="3"/>
      <c r="S23" s="3"/>
      <c r="T23" s="3"/>
      <c r="U23" s="3"/>
      <c r="V23" s="3"/>
      <c r="W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6"/>
      <c r="O24" s="3"/>
      <c r="P24" s="3"/>
      <c r="Q24" s="3"/>
      <c r="R24" s="3"/>
      <c r="S24" s="3"/>
      <c r="T24" s="3"/>
      <c r="U24" s="3"/>
      <c r="V24" s="3"/>
      <c r="W24" s="3"/>
    </row>
    <row r="25">
      <c r="A25" s="9" t="s">
        <v>7</v>
      </c>
      <c r="B25" s="1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 t="s">
        <v>8</v>
      </c>
      <c r="B26" s="11">
        <v>0.9136766048232766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 t="s">
        <v>9</v>
      </c>
      <c r="B27" s="11">
        <v>0.83480493820139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 t="s">
        <v>10</v>
      </c>
      <c r="B28" s="11">
        <v>0.8038308641141507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 t="s">
        <v>11</v>
      </c>
      <c r="B29" s="11">
        <v>7.8608372053792355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2" t="s">
        <v>12</v>
      </c>
      <c r="B30" s="13">
        <v>20.0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3" t="s">
        <v>13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10"/>
      <c r="B33" s="9" t="s">
        <v>14</v>
      </c>
      <c r="C33" s="9" t="s">
        <v>15</v>
      </c>
      <c r="D33" s="9" t="s">
        <v>16</v>
      </c>
      <c r="E33" s="9" t="s">
        <v>17</v>
      </c>
      <c r="F33" s="9" t="s">
        <v>18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 t="s">
        <v>19</v>
      </c>
      <c r="B34" s="11">
        <v>3.0</v>
      </c>
      <c r="C34" s="11">
        <v>4996.26581488841</v>
      </c>
      <c r="D34" s="11">
        <v>1665.4219382961367</v>
      </c>
      <c r="E34" s="11">
        <v>26.951731820946062</v>
      </c>
      <c r="F34" s="11">
        <v>1.7100917575341157E-6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 t="s">
        <v>20</v>
      </c>
      <c r="B35" s="11">
        <v>16.0</v>
      </c>
      <c r="C35" s="11">
        <v>988.6841851115908</v>
      </c>
      <c r="D35" s="11">
        <v>61.79276156947442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12" t="s">
        <v>21</v>
      </c>
      <c r="B36" s="13">
        <v>19.0</v>
      </c>
      <c r="C36" s="13">
        <v>5984.950000000001</v>
      </c>
      <c r="D36" s="12"/>
      <c r="E36" s="12"/>
      <c r="F36" s="12"/>
      <c r="G36" s="3"/>
      <c r="H36" s="3"/>
      <c r="I36" s="3"/>
      <c r="J36" s="1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1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10"/>
      <c r="B38" s="9" t="s">
        <v>22</v>
      </c>
      <c r="C38" s="9" t="s">
        <v>11</v>
      </c>
      <c r="D38" s="9" t="s">
        <v>23</v>
      </c>
      <c r="E38" s="9" t="s">
        <v>24</v>
      </c>
      <c r="F38" s="9" t="s">
        <v>25</v>
      </c>
      <c r="G38" s="9" t="s">
        <v>26</v>
      </c>
      <c r="H38" s="9" t="s">
        <v>25</v>
      </c>
      <c r="I38" s="9" t="s">
        <v>26</v>
      </c>
      <c r="J38" s="1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 t="s">
        <v>27</v>
      </c>
      <c r="B39" s="11">
        <v>59.0740478870448</v>
      </c>
      <c r="C39" s="11">
        <v>18.362040046711826</v>
      </c>
      <c r="D39" s="11">
        <v>3.21718326159644</v>
      </c>
      <c r="E39" s="11">
        <v>0.005379838165951633</v>
      </c>
      <c r="F39" s="11">
        <v>20.14826214500041</v>
      </c>
      <c r="G39" s="11">
        <v>97.99983362908918</v>
      </c>
      <c r="H39" s="11">
        <v>20.14826214500041</v>
      </c>
      <c r="I39" s="11">
        <v>97.99983362908918</v>
      </c>
      <c r="J39" s="1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 t="s">
        <v>1</v>
      </c>
      <c r="B40" s="11">
        <v>7.613297276503889</v>
      </c>
      <c r="C40" s="11">
        <v>0.999469984881918</v>
      </c>
      <c r="D40" s="11">
        <v>7.617334578990243</v>
      </c>
      <c r="E40" s="11">
        <v>1.0411883255461376E-6</v>
      </c>
      <c r="F40" s="11">
        <v>5.494515573155802</v>
      </c>
      <c r="G40" s="11">
        <v>9.732078979851977</v>
      </c>
      <c r="H40" s="11">
        <v>5.494515573155802</v>
      </c>
      <c r="I40" s="11">
        <v>9.732078979851977</v>
      </c>
      <c r="J40" s="1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 t="s">
        <v>2</v>
      </c>
      <c r="B41" s="11">
        <v>6.0904928895444925</v>
      </c>
      <c r="C41" s="11">
        <v>1.3198222734306282</v>
      </c>
      <c r="D41" s="11">
        <v>4.614631084921312</v>
      </c>
      <c r="E41" s="11">
        <v>2.8699076945559835E-4</v>
      </c>
      <c r="F41" s="11">
        <v>3.2925946765766727</v>
      </c>
      <c r="G41" s="11">
        <v>8.888391102512312</v>
      </c>
      <c r="H41" s="11">
        <v>3.2925946765766727</v>
      </c>
      <c r="I41" s="11">
        <v>8.888391102512312</v>
      </c>
      <c r="J41" s="1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12" t="s">
        <v>3</v>
      </c>
      <c r="B42" s="13">
        <v>-2.578277317924517</v>
      </c>
      <c r="C42" s="13">
        <v>0.9782889184230881</v>
      </c>
      <c r="D42" s="13">
        <v>-2.6354968040325586</v>
      </c>
      <c r="E42" s="13">
        <v>0.017993418106717608</v>
      </c>
      <c r="F42" s="13">
        <v>-4.652157166540398</v>
      </c>
      <c r="G42" s="13">
        <v>-0.5043974693086359</v>
      </c>
      <c r="H42" s="13">
        <v>-4.652157166540398</v>
      </c>
      <c r="I42" s="13">
        <v>-0.5043974693086359</v>
      </c>
      <c r="J42" s="1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1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1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1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 t="s">
        <v>28</v>
      </c>
      <c r="B46" s="3"/>
      <c r="C46" s="3"/>
      <c r="D46" s="3"/>
      <c r="E46" s="3"/>
      <c r="F46" s="3"/>
      <c r="G46" s="3"/>
      <c r="H46" s="3"/>
      <c r="I46" s="3"/>
      <c r="J46" s="1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1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9" t="s">
        <v>29</v>
      </c>
      <c r="B48" s="9" t="s">
        <v>30</v>
      </c>
      <c r="C48" s="9" t="s">
        <v>31</v>
      </c>
      <c r="D48" s="5" t="s">
        <v>123</v>
      </c>
      <c r="E48" s="3"/>
      <c r="F48" s="3"/>
      <c r="G48" s="3"/>
      <c r="H48" s="3"/>
      <c r="I48" s="3"/>
      <c r="J48" s="1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11">
        <v>1.0</v>
      </c>
      <c r="B49" s="11">
        <v>141.98838244078433</v>
      </c>
      <c r="C49" s="11">
        <v>-2.988382440784335</v>
      </c>
      <c r="D49" s="3">
        <f t="shared" ref="D49:D68" si="1">C49^2</f>
        <v>8.930429612</v>
      </c>
      <c r="E49" s="3"/>
      <c r="F49" s="3"/>
      <c r="G49" s="3"/>
      <c r="H49" s="3"/>
      <c r="I49" s="3"/>
      <c r="J49" s="1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11">
        <v>2.0</v>
      </c>
      <c r="B50" s="11">
        <v>188.01323822023917</v>
      </c>
      <c r="C50" s="11">
        <v>-6.013238220239174</v>
      </c>
      <c r="D50" s="3">
        <f t="shared" si="1"/>
        <v>36.15903389</v>
      </c>
      <c r="E50" s="3"/>
      <c r="F50" s="3"/>
      <c r="G50" s="3"/>
      <c r="H50" s="3"/>
      <c r="I50" s="3"/>
      <c r="J50" s="1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11">
        <v>3.0</v>
      </c>
      <c r="B51" s="11">
        <v>173.84211659819653</v>
      </c>
      <c r="C51" s="11">
        <v>-9.842116598196526</v>
      </c>
      <c r="D51" s="3">
        <f t="shared" si="1"/>
        <v>96.86725913</v>
      </c>
      <c r="E51" s="3"/>
      <c r="F51" s="3"/>
      <c r="G51" s="3"/>
      <c r="H51" s="3"/>
      <c r="I51" s="3"/>
      <c r="J51" s="1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11">
        <v>4.0</v>
      </c>
      <c r="B52" s="11">
        <v>159.2043881784527</v>
      </c>
      <c r="C52" s="11">
        <v>-9.204388178452689</v>
      </c>
      <c r="D52" s="3">
        <f t="shared" si="1"/>
        <v>84.72076174</v>
      </c>
      <c r="E52" s="3"/>
      <c r="F52" s="3"/>
      <c r="G52" s="3"/>
      <c r="H52" s="3"/>
      <c r="I52" s="3"/>
      <c r="J52" s="1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11">
        <v>5.0</v>
      </c>
      <c r="B53" s="11">
        <v>168.2189551646463</v>
      </c>
      <c r="C53" s="11">
        <v>7.781044835353697</v>
      </c>
      <c r="D53" s="3">
        <f t="shared" si="1"/>
        <v>60.54465873</v>
      </c>
      <c r="E53" s="3"/>
      <c r="F53" s="3"/>
      <c r="G53" s="3"/>
      <c r="H53" s="3"/>
      <c r="I53" s="3"/>
      <c r="J53" s="14"/>
      <c r="K53" s="14"/>
      <c r="L53" s="14"/>
      <c r="M53" s="14"/>
      <c r="N53" s="14"/>
      <c r="O53" s="14"/>
      <c r="P53" s="14"/>
      <c r="Q53" s="14"/>
      <c r="R53" s="3"/>
      <c r="S53" s="3"/>
      <c r="T53" s="3"/>
      <c r="U53" s="3"/>
      <c r="V53" s="3"/>
      <c r="W53" s="3"/>
    </row>
    <row r="54">
      <c r="A54" s="11">
        <v>6.0</v>
      </c>
      <c r="B54" s="11">
        <v>162.24999695237148</v>
      </c>
      <c r="C54" s="11">
        <v>5.750003047628525</v>
      </c>
      <c r="D54" s="3">
        <f t="shared" si="1"/>
        <v>33.06253505</v>
      </c>
      <c r="E54" s="3"/>
      <c r="F54" s="3"/>
      <c r="G54" s="3"/>
      <c r="H54" s="3"/>
      <c r="I54" s="3"/>
      <c r="J54" s="14"/>
      <c r="K54" s="14"/>
      <c r="L54" s="14"/>
      <c r="M54" s="14"/>
      <c r="N54" s="14"/>
      <c r="O54" s="14"/>
      <c r="P54" s="14"/>
      <c r="Q54" s="14"/>
      <c r="R54" s="3"/>
      <c r="S54" s="3"/>
      <c r="T54" s="3"/>
      <c r="U54" s="3"/>
      <c r="V54" s="3"/>
      <c r="W54" s="3"/>
    </row>
    <row r="55">
      <c r="A55" s="11">
        <v>7.0</v>
      </c>
      <c r="B55" s="11">
        <v>168.80709663961716</v>
      </c>
      <c r="C55" s="11">
        <v>4.192903360382843</v>
      </c>
      <c r="D55" s="3">
        <f t="shared" si="1"/>
        <v>17.58043859</v>
      </c>
      <c r="E55" s="3"/>
      <c r="F55" s="3"/>
      <c r="G55" s="3"/>
      <c r="H55" s="3"/>
      <c r="I55" s="3"/>
      <c r="J55" s="14"/>
      <c r="K55" s="15"/>
      <c r="N55" s="14"/>
      <c r="O55" s="14"/>
      <c r="P55" s="14"/>
      <c r="Q55" s="14"/>
      <c r="R55" s="3"/>
      <c r="S55" s="3"/>
      <c r="T55" s="3"/>
      <c r="U55" s="3"/>
      <c r="V55" s="3"/>
      <c r="W55" s="3"/>
    </row>
    <row r="56">
      <c r="A56" s="11">
        <v>8.0</v>
      </c>
      <c r="B56" s="11">
        <v>139.75517724329134</v>
      </c>
      <c r="C56" s="11">
        <v>5.244822756708658</v>
      </c>
      <c r="D56" s="3">
        <f t="shared" si="1"/>
        <v>27.50816575</v>
      </c>
      <c r="E56" s="3"/>
      <c r="F56" s="3"/>
      <c r="G56" s="3"/>
      <c r="H56" s="3"/>
      <c r="I56" s="3"/>
      <c r="J56" s="14"/>
      <c r="K56" s="14"/>
      <c r="L56" s="14"/>
      <c r="M56" s="14"/>
      <c r="N56" s="14"/>
      <c r="O56" s="14"/>
      <c r="P56" s="14"/>
      <c r="Q56" s="14"/>
      <c r="R56" s="3"/>
      <c r="S56" s="3"/>
      <c r="T56" s="3"/>
      <c r="U56" s="3"/>
      <c r="V56" s="3"/>
      <c r="W56" s="3"/>
    </row>
    <row r="57">
      <c r="A57" s="11">
        <v>9.0</v>
      </c>
      <c r="B57" s="11">
        <v>171.85270541353594</v>
      </c>
      <c r="C57" s="11">
        <v>3.1472945864640565</v>
      </c>
      <c r="D57" s="3">
        <f t="shared" si="1"/>
        <v>9.905463214</v>
      </c>
      <c r="E57" s="3"/>
      <c r="F57" s="3"/>
      <c r="G57" s="3"/>
      <c r="H57" s="3"/>
      <c r="I57" s="3"/>
      <c r="J57" s="14"/>
      <c r="K57" s="14"/>
      <c r="L57" s="16"/>
      <c r="M57" s="14"/>
      <c r="N57" s="16"/>
      <c r="O57" s="14"/>
      <c r="P57" s="14"/>
      <c r="Q57" s="14"/>
      <c r="R57" s="3"/>
      <c r="S57" s="3"/>
      <c r="T57" s="3"/>
      <c r="U57" s="3"/>
      <c r="V57" s="3"/>
      <c r="W57" s="3"/>
    </row>
    <row r="58">
      <c r="A58" s="11">
        <v>10.0</v>
      </c>
      <c r="B58" s="11">
        <v>166.22881932169264</v>
      </c>
      <c r="C58" s="11">
        <v>-9.22881932169264</v>
      </c>
      <c r="D58" s="3">
        <f t="shared" si="1"/>
        <v>85.17110607</v>
      </c>
      <c r="E58" s="3"/>
      <c r="F58" s="3"/>
      <c r="G58" s="3"/>
      <c r="H58" s="3"/>
      <c r="I58" s="3"/>
      <c r="J58" s="14"/>
      <c r="K58" s="14"/>
      <c r="L58" s="16"/>
      <c r="M58" s="14"/>
      <c r="N58" s="16"/>
      <c r="O58" s="14"/>
      <c r="P58" s="14"/>
      <c r="Q58" s="14"/>
      <c r="R58" s="3"/>
      <c r="S58" s="3"/>
      <c r="T58" s="3"/>
      <c r="U58" s="3"/>
      <c r="V58" s="3"/>
      <c r="W58" s="3"/>
    </row>
    <row r="59">
      <c r="A59" s="11">
        <v>11.0</v>
      </c>
      <c r="B59" s="11">
        <v>144.7901972018707</v>
      </c>
      <c r="C59" s="11">
        <v>-2.7901972018707113</v>
      </c>
      <c r="D59" s="3">
        <f t="shared" si="1"/>
        <v>7.785200425</v>
      </c>
      <c r="E59" s="3"/>
      <c r="F59" s="3"/>
      <c r="G59" s="3"/>
      <c r="H59" s="3"/>
      <c r="I59" s="3"/>
      <c r="J59" s="14"/>
      <c r="K59" s="14"/>
      <c r="L59" s="16"/>
      <c r="M59" s="14"/>
      <c r="N59" s="16"/>
      <c r="O59" s="14"/>
      <c r="P59" s="14"/>
      <c r="Q59" s="14"/>
      <c r="R59" s="3"/>
      <c r="S59" s="3"/>
      <c r="T59" s="3"/>
      <c r="U59" s="3"/>
      <c r="V59" s="3"/>
      <c r="W59" s="3"/>
    </row>
    <row r="60">
      <c r="A60" s="11">
        <v>12.0</v>
      </c>
      <c r="B60" s="11">
        <v>155.44910325229338</v>
      </c>
      <c r="C60" s="11">
        <v>-4.4491032522933835</v>
      </c>
      <c r="D60" s="3">
        <f t="shared" si="1"/>
        <v>19.79451975</v>
      </c>
      <c r="E60" s="3"/>
      <c r="F60" s="3"/>
      <c r="G60" s="3"/>
      <c r="H60" s="3"/>
      <c r="I60" s="3"/>
      <c r="J60" s="14"/>
      <c r="K60" s="15"/>
      <c r="M60" s="14"/>
      <c r="N60" s="14"/>
      <c r="O60" s="14"/>
      <c r="P60" s="14"/>
      <c r="Q60" s="14"/>
      <c r="R60" s="3"/>
      <c r="S60" s="3"/>
      <c r="T60" s="3"/>
      <c r="U60" s="3"/>
      <c r="V60" s="3"/>
      <c r="W60" s="3"/>
    </row>
    <row r="61">
      <c r="A61" s="11">
        <v>13.0</v>
      </c>
      <c r="B61" s="11">
        <v>149.60167971728822</v>
      </c>
      <c r="C61" s="11">
        <v>-1.6016797172882207</v>
      </c>
      <c r="D61" s="3">
        <f t="shared" si="1"/>
        <v>2.565377917</v>
      </c>
      <c r="E61" s="3"/>
      <c r="F61" s="3"/>
      <c r="G61" s="3"/>
      <c r="H61" s="3"/>
      <c r="I61" s="3"/>
      <c r="J61" s="3"/>
      <c r="K61" s="14"/>
      <c r="L61" s="14"/>
      <c r="M61" s="14"/>
      <c r="N61" s="14"/>
      <c r="O61" s="14"/>
      <c r="P61" s="14"/>
      <c r="Q61" s="14"/>
      <c r="R61" s="3"/>
      <c r="S61" s="3"/>
      <c r="T61" s="3"/>
      <c r="U61" s="3"/>
      <c r="V61" s="3"/>
      <c r="W61" s="3"/>
    </row>
    <row r="62">
      <c r="A62" s="11">
        <v>14.0</v>
      </c>
      <c r="B62" s="11">
        <v>182.9782182616598</v>
      </c>
      <c r="C62" s="11">
        <v>3.021781738340195</v>
      </c>
      <c r="D62" s="3">
        <f t="shared" si="1"/>
        <v>9.131164874</v>
      </c>
      <c r="E62" s="3"/>
      <c r="F62" s="3"/>
      <c r="G62" s="3"/>
      <c r="H62" s="3"/>
      <c r="I62" s="3"/>
      <c r="J62" s="3"/>
      <c r="K62" s="14"/>
      <c r="L62" s="14"/>
      <c r="M62" s="14"/>
      <c r="N62" s="14"/>
      <c r="O62" s="14"/>
      <c r="P62" s="14"/>
      <c r="Q62" s="14"/>
      <c r="R62" s="3"/>
      <c r="S62" s="3"/>
      <c r="T62" s="3"/>
      <c r="U62" s="3"/>
      <c r="V62" s="3"/>
      <c r="W62" s="3"/>
    </row>
    <row r="63">
      <c r="A63" s="11">
        <v>15.0</v>
      </c>
      <c r="B63" s="11">
        <v>193.1697928560882</v>
      </c>
      <c r="C63" s="11">
        <v>7.830207143911792</v>
      </c>
      <c r="D63" s="3">
        <f t="shared" si="1"/>
        <v>61.31214392</v>
      </c>
      <c r="E63" s="3"/>
      <c r="F63" s="3"/>
      <c r="G63" s="3"/>
      <c r="H63" s="3"/>
      <c r="I63" s="3"/>
      <c r="J63" s="3"/>
      <c r="K63" s="16"/>
      <c r="L63" s="16"/>
      <c r="M63" s="16"/>
      <c r="N63" s="16"/>
      <c r="O63" s="16"/>
      <c r="P63" s="16"/>
      <c r="Q63" s="14"/>
      <c r="R63" s="3"/>
      <c r="S63" s="3"/>
      <c r="T63" s="3"/>
      <c r="U63" s="3"/>
      <c r="V63" s="3"/>
      <c r="W63" s="3"/>
    </row>
    <row r="64">
      <c r="A64" s="11">
        <v>16.0</v>
      </c>
      <c r="B64" s="11">
        <v>164.1178734597624</v>
      </c>
      <c r="C64" s="11">
        <v>4.882126540237607</v>
      </c>
      <c r="D64" s="3">
        <f t="shared" si="1"/>
        <v>23.83515955</v>
      </c>
      <c r="E64" s="3"/>
      <c r="F64" s="3"/>
      <c r="G64" s="3"/>
      <c r="H64" s="3"/>
      <c r="I64" s="3"/>
      <c r="J64" s="3"/>
      <c r="K64" s="16"/>
      <c r="L64" s="16"/>
      <c r="M64" s="16"/>
      <c r="N64" s="16"/>
      <c r="O64" s="16"/>
      <c r="P64" s="16"/>
      <c r="Q64" s="14"/>
      <c r="R64" s="3"/>
      <c r="S64" s="3"/>
      <c r="T64" s="3"/>
      <c r="U64" s="3"/>
      <c r="V64" s="3"/>
      <c r="W64" s="3"/>
    </row>
    <row r="65">
      <c r="A65" s="11">
        <v>17.0</v>
      </c>
      <c r="B65" s="11">
        <v>142.33345456121586</v>
      </c>
      <c r="C65" s="11">
        <v>17.66654543878414</v>
      </c>
      <c r="D65" s="3">
        <f t="shared" si="1"/>
        <v>312.1068277</v>
      </c>
      <c r="E65" s="3"/>
      <c r="F65" s="3"/>
      <c r="G65" s="3"/>
      <c r="H65" s="3"/>
      <c r="I65" s="3"/>
      <c r="J65" s="3"/>
      <c r="K65" s="16"/>
      <c r="L65" s="16"/>
      <c r="M65" s="16"/>
      <c r="N65" s="16"/>
      <c r="O65" s="16"/>
      <c r="P65" s="16"/>
      <c r="Q65" s="14"/>
      <c r="R65" s="3"/>
      <c r="S65" s="3"/>
      <c r="T65" s="3"/>
      <c r="U65" s="3"/>
      <c r="V65" s="3"/>
      <c r="W65" s="3"/>
    </row>
    <row r="66">
      <c r="A66" s="11">
        <v>18.0</v>
      </c>
      <c r="B66" s="11">
        <v>159.08285350118302</v>
      </c>
      <c r="C66" s="11">
        <v>-8.082853501183024</v>
      </c>
      <c r="D66" s="3">
        <f t="shared" si="1"/>
        <v>65.33252072</v>
      </c>
      <c r="E66" s="3"/>
      <c r="F66" s="3"/>
      <c r="G66" s="3"/>
      <c r="H66" s="3"/>
      <c r="I66" s="3"/>
      <c r="J66" s="3"/>
      <c r="K66" s="14"/>
      <c r="L66" s="14"/>
      <c r="M66" s="14"/>
      <c r="N66" s="14"/>
      <c r="O66" s="14"/>
      <c r="P66" s="14"/>
      <c r="Q66" s="14"/>
      <c r="R66" s="3"/>
      <c r="S66" s="3"/>
      <c r="T66" s="3"/>
      <c r="U66" s="3"/>
      <c r="V66" s="3"/>
      <c r="W66" s="3"/>
    </row>
    <row r="67">
      <c r="A67" s="11">
        <v>19.0</v>
      </c>
      <c r="B67" s="11">
        <v>134.13201580974112</v>
      </c>
      <c r="C67" s="11">
        <v>-5.1320158097411195</v>
      </c>
      <c r="D67" s="3">
        <f t="shared" si="1"/>
        <v>26.33758627</v>
      </c>
      <c r="E67" s="3"/>
      <c r="F67" s="3"/>
      <c r="G67" s="3"/>
      <c r="H67" s="3"/>
      <c r="I67" s="3"/>
      <c r="J67" s="3"/>
      <c r="K67" s="14"/>
      <c r="L67" s="14"/>
      <c r="M67" s="14"/>
      <c r="N67" s="14"/>
      <c r="O67" s="14"/>
      <c r="P67" s="14"/>
      <c r="Q67" s="14"/>
      <c r="R67" s="3"/>
      <c r="S67" s="3"/>
      <c r="T67" s="3"/>
      <c r="U67" s="3"/>
      <c r="V67" s="3"/>
      <c r="W67" s="3"/>
    </row>
    <row r="68">
      <c r="A68" s="13">
        <v>20.0</v>
      </c>
      <c r="B68" s="13">
        <v>163.18393520606693</v>
      </c>
      <c r="C68" s="13">
        <v>-0.18393520606693414</v>
      </c>
      <c r="D68" s="3">
        <f t="shared" si="1"/>
        <v>0.03383216003</v>
      </c>
      <c r="E68" s="3"/>
      <c r="F68" s="3"/>
      <c r="G68" s="3"/>
      <c r="H68" s="3"/>
      <c r="I68" s="3"/>
      <c r="J68" s="3"/>
      <c r="K68" s="16"/>
      <c r="L68" s="14"/>
      <c r="M68" s="14"/>
      <c r="N68" s="14"/>
      <c r="O68" s="14"/>
      <c r="P68" s="14"/>
      <c r="Q68" s="14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14"/>
      <c r="L69" s="14"/>
      <c r="M69" s="14"/>
      <c r="N69" s="14"/>
      <c r="O69" s="14"/>
      <c r="P69" s="14"/>
      <c r="Q69" s="14"/>
      <c r="R69" s="3"/>
      <c r="S69" s="3"/>
      <c r="T69" s="3"/>
      <c r="U69" s="3"/>
      <c r="V69" s="3"/>
      <c r="W69" s="3"/>
    </row>
    <row r="70">
      <c r="A70" s="3"/>
      <c r="B70" s="3"/>
      <c r="C70" s="3"/>
      <c r="D70" s="5" t="s">
        <v>132</v>
      </c>
      <c r="E70" s="3"/>
      <c r="F70" s="3"/>
      <c r="G70" s="3"/>
      <c r="H70" s="3"/>
      <c r="I70" s="3"/>
      <c r="J70" s="3"/>
      <c r="K70" s="14"/>
      <c r="L70" s="14"/>
      <c r="M70" s="14"/>
      <c r="N70" s="14"/>
      <c r="O70" s="14"/>
      <c r="P70" s="14"/>
      <c r="Q70" s="14"/>
      <c r="R70" s="3"/>
      <c r="S70" s="3"/>
      <c r="T70" s="3"/>
      <c r="U70" s="3"/>
      <c r="V70" s="3"/>
      <c r="W70" s="3"/>
    </row>
    <row r="71">
      <c r="A71" s="5" t="s">
        <v>133</v>
      </c>
      <c r="B71" s="3">
        <f>CORREL(B2:B21,C2:C21)</f>
        <v>-0.04178562761</v>
      </c>
      <c r="C71" s="3"/>
      <c r="D71" s="5" t="s">
        <v>134</v>
      </c>
      <c r="E71" s="3">
        <f>(B71-B73*B72)/(SQRT(1-B73^2)*SQRT(1-B72^2))</f>
        <v>-0.03642032124</v>
      </c>
      <c r="F71" s="89" t="s">
        <v>135</v>
      </c>
      <c r="H71" s="3"/>
      <c r="I71" s="3"/>
      <c r="J71" s="3"/>
      <c r="K71" s="16"/>
      <c r="L71" s="14"/>
      <c r="M71" s="16"/>
      <c r="N71" s="14"/>
      <c r="O71" s="14"/>
      <c r="P71" s="14"/>
      <c r="Q71" s="14"/>
      <c r="R71" s="3"/>
      <c r="S71" s="3"/>
      <c r="T71" s="3"/>
      <c r="U71" s="3"/>
      <c r="V71" s="3"/>
      <c r="W71" s="3"/>
    </row>
    <row r="72">
      <c r="A72" s="26" t="s">
        <v>136</v>
      </c>
      <c r="B72" s="3">
        <f>CORREL(C2:C21,D2:D21)</f>
        <v>0.1966682339</v>
      </c>
      <c r="D72" s="26" t="s">
        <v>137</v>
      </c>
      <c r="E72" s="25">
        <f>(B73-B71*B72)/(SQRT(1-B71^2)*SQRT(1-B72^2))</f>
        <v>-0.02324074432</v>
      </c>
      <c r="F72" s="89" t="s">
        <v>135</v>
      </c>
      <c r="K72" s="16"/>
      <c r="L72" s="14"/>
      <c r="M72" s="16"/>
      <c r="N72" s="14"/>
      <c r="O72" s="14"/>
      <c r="P72" s="14"/>
      <c r="Q72" s="14"/>
      <c r="R72" s="3"/>
      <c r="S72" s="3"/>
      <c r="T72" s="3"/>
      <c r="U72" s="3"/>
      <c r="V72" s="3"/>
      <c r="W72" s="3"/>
    </row>
    <row r="73">
      <c r="A73" s="26" t="s">
        <v>138</v>
      </c>
      <c r="B73" s="5">
        <f>CORREL(B2:B21,D2:D21)</f>
        <v>-0.0309848583</v>
      </c>
      <c r="D73" s="26" t="s">
        <v>139</v>
      </c>
      <c r="E73" s="25">
        <f>(B72-B71*B73)/(SQRT(1-B71^2)*SQRT(1-B73^2))</f>
        <v>0.1956382356</v>
      </c>
      <c r="F73" s="89" t="s">
        <v>135</v>
      </c>
      <c r="K73" s="16"/>
      <c r="L73" s="14"/>
      <c r="M73" s="16"/>
      <c r="N73" s="14"/>
      <c r="O73" s="14"/>
      <c r="P73" s="14"/>
      <c r="Q73" s="14"/>
      <c r="R73" s="3"/>
      <c r="S73" s="3"/>
      <c r="T73" s="3"/>
      <c r="U73" s="3"/>
      <c r="V73" s="3"/>
      <c r="W73" s="3"/>
    </row>
    <row r="74">
      <c r="K74" s="16"/>
      <c r="L74" s="14"/>
      <c r="M74" s="14"/>
      <c r="N74" s="14"/>
      <c r="O74" s="14"/>
      <c r="P74" s="14"/>
      <c r="Q74" s="14"/>
      <c r="R74" s="3"/>
      <c r="S74" s="3"/>
      <c r="T74" s="3"/>
      <c r="U74" s="3"/>
      <c r="V74" s="3"/>
      <c r="W74" s="3"/>
    </row>
    <row r="75">
      <c r="K75" s="14"/>
      <c r="L75" s="14"/>
      <c r="M75" s="14"/>
      <c r="N75" s="14"/>
      <c r="O75" s="14"/>
      <c r="P75" s="14"/>
      <c r="Q75" s="14"/>
      <c r="R75" s="3"/>
      <c r="S75" s="3"/>
      <c r="T75" s="3"/>
      <c r="U75" s="3"/>
      <c r="V75" s="3"/>
      <c r="W75" s="3"/>
    </row>
    <row r="76">
      <c r="A76" s="28" t="s">
        <v>140</v>
      </c>
      <c r="B76" s="66"/>
      <c r="C76" s="66"/>
      <c r="D76" s="29"/>
      <c r="F76" s="28" t="s">
        <v>141</v>
      </c>
      <c r="G76" s="66"/>
      <c r="H76" s="66"/>
      <c r="I76" s="29"/>
      <c r="K76" s="14"/>
      <c r="L76" s="14"/>
      <c r="M76" s="14"/>
      <c r="N76" s="14"/>
      <c r="O76" s="14"/>
      <c r="P76" s="14"/>
      <c r="Q76" s="14"/>
      <c r="R76" s="3"/>
      <c r="S76" s="3"/>
      <c r="T76" s="3"/>
      <c r="U76" s="3"/>
      <c r="V76" s="3"/>
      <c r="W76" s="3"/>
    </row>
    <row r="77">
      <c r="A77" s="90"/>
      <c r="B77" s="91">
        <v>1.0</v>
      </c>
      <c r="C77" s="91">
        <v>2.0</v>
      </c>
      <c r="D77" s="91">
        <v>3.0</v>
      </c>
      <c r="F77" s="90"/>
      <c r="G77" s="91">
        <v>1.0</v>
      </c>
      <c r="H77" s="91">
        <v>2.0</v>
      </c>
      <c r="I77" s="91">
        <v>3.0</v>
      </c>
      <c r="K77" s="14"/>
      <c r="L77" s="14"/>
      <c r="M77" s="14"/>
      <c r="N77" s="14"/>
      <c r="O77" s="14"/>
      <c r="P77" s="14"/>
      <c r="Q77" s="14"/>
      <c r="R77" s="3"/>
      <c r="S77" s="3"/>
      <c r="T77" s="3"/>
      <c r="U77" s="3"/>
      <c r="V77" s="3"/>
      <c r="W77" s="3"/>
    </row>
    <row r="78">
      <c r="A78" s="91">
        <v>1.0</v>
      </c>
      <c r="B78" s="30">
        <v>1.0</v>
      </c>
      <c r="C78" s="30">
        <f>CORREL(B2:B21,C2:C21)</f>
        <v>-0.04178562761</v>
      </c>
      <c r="D78" s="30">
        <f>CORREL(B2:B21,D2:D21)</f>
        <v>-0.0309848583</v>
      </c>
      <c r="F78" s="91">
        <v>1.0</v>
      </c>
      <c r="G78" s="30">
        <f t="array" ref="G78:I80">MMULT(TRANSPOSE(B78:D80),B78:D80)</f>
        <v>1.0027061</v>
      </c>
      <c r="H78" s="30">
        <v>-0.08966499257966458</v>
      </c>
      <c r="I78" s="30">
        <v>-0.0701876221865451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91">
        <v>2.0</v>
      </c>
      <c r="B79" s="30">
        <f>CORREL(B1:B21,C1:C21)</f>
        <v>-0.04178562761</v>
      </c>
      <c r="C79" s="30">
        <v>1.0</v>
      </c>
      <c r="D79" s="30">
        <f>CORREL(C2:C21,D2:D21)</f>
        <v>0.1966682339</v>
      </c>
      <c r="F79" s="91">
        <v>2.0</v>
      </c>
      <c r="G79" s="30">
        <v>-0.08966499257966458</v>
      </c>
      <c r="H79" s="30">
        <v>1.0404244329011887</v>
      </c>
      <c r="I79" s="30">
        <v>0.39463118955603915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91">
        <v>3.0</v>
      </c>
      <c r="B80" s="30">
        <f>CORREL(B2:B21,D2:D21)</f>
        <v>-0.0309848583</v>
      </c>
      <c r="C80" s="30">
        <f>CORREL(C2:C21,D2:D21)</f>
        <v>0.1966682339</v>
      </c>
      <c r="D80" s="30">
        <v>1.0</v>
      </c>
      <c r="F80" s="91">
        <v>3.0</v>
      </c>
      <c r="G80" s="30">
        <v>-0.0701876221865451</v>
      </c>
      <c r="H80" s="30">
        <v>0.39463118955603915</v>
      </c>
      <c r="I80" s="30">
        <v>1.0396384556703646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28" t="s">
        <v>142</v>
      </c>
      <c r="B82" s="66"/>
      <c r="C82" s="66"/>
      <c r="D82" s="29"/>
      <c r="F82" s="28" t="s">
        <v>143</v>
      </c>
      <c r="G82" s="66"/>
      <c r="H82" s="66"/>
      <c r="I82" s="29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90"/>
      <c r="B83" s="91">
        <v>1.0</v>
      </c>
      <c r="C83" s="91">
        <v>2.0</v>
      </c>
      <c r="D83" s="91">
        <v>3.0</v>
      </c>
      <c r="F83" s="90"/>
      <c r="G83" s="91">
        <v>1.0</v>
      </c>
      <c r="H83" s="91">
        <v>2.0</v>
      </c>
      <c r="I83" s="91">
        <v>3.0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91">
        <v>1.0</v>
      </c>
      <c r="B84" s="30">
        <f t="array" ref="B84:D86">MINVERSE(B78:D80)</f>
        <v>1.002290462</v>
      </c>
      <c r="C84" s="30">
        <v>0.037212979458569204</v>
      </c>
      <c r="D84" s="30">
        <v>0.02373721699334105</v>
      </c>
      <c r="F84" s="91">
        <v>1.0</v>
      </c>
      <c r="G84" s="30">
        <f t="array" ref="G84:I86">MINVERSE(G78:I80)</f>
        <v>1.006534432</v>
      </c>
      <c r="H84" s="30">
        <v>0.07122459223537811</v>
      </c>
      <c r="I84" s="30">
        <v>0.040916928964323675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91">
        <v>2.0</v>
      </c>
      <c r="B85" s="30">
        <v>0.037212979458569204</v>
      </c>
      <c r="C85" s="30">
        <v>1.0416162453489806</v>
      </c>
      <c r="D85" s="30">
        <v>-0.20369978848173034</v>
      </c>
      <c r="F85" s="91">
        <v>2.0</v>
      </c>
      <c r="G85" s="30">
        <v>0.0712245922353781</v>
      </c>
      <c r="H85" s="30">
        <v>1.1278428122425934</v>
      </c>
      <c r="I85" s="30">
        <v>-0.42330375858744834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91">
        <v>3.0</v>
      </c>
      <c r="B86" s="30">
        <v>0.02373721699334105</v>
      </c>
      <c r="C86" s="30">
        <v>-0.20369978848173032</v>
      </c>
      <c r="D86" s="30">
        <v>1.040796771952067</v>
      </c>
      <c r="F86" s="91">
        <v>3.0</v>
      </c>
      <c r="G86" s="30">
        <v>0.040916928964323675</v>
      </c>
      <c r="H86" s="30">
        <v>-0.4233037585874484</v>
      </c>
      <c r="I86" s="30">
        <v>1.1253149798039332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F87" s="26" t="s">
        <v>144</v>
      </c>
      <c r="G87" s="26">
        <v>0.684</v>
      </c>
      <c r="H87" s="26">
        <v>1.025</v>
      </c>
      <c r="I87" s="26">
        <v>1.551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92" t="s">
        <v>145</v>
      </c>
      <c r="B88" s="66"/>
      <c r="C88" s="66"/>
      <c r="D88" s="29"/>
      <c r="F88" s="26" t="s">
        <v>146</v>
      </c>
      <c r="G88" s="25">
        <f t="array" ref="G88">MAX(G87:I87) / MIN(G87:I87)
</f>
        <v>2.26754386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93"/>
      <c r="B89" s="94">
        <v>1.0</v>
      </c>
      <c r="C89" s="94">
        <v>2.0</v>
      </c>
      <c r="D89" s="94">
        <v>3.0</v>
      </c>
      <c r="E89" s="31"/>
      <c r="F89" s="95" t="s">
        <v>147</v>
      </c>
      <c r="G89" s="3">
        <f>SQRT(G88)</f>
        <v>1.505836598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94">
        <v>1.0</v>
      </c>
      <c r="B90" s="96">
        <f>(-B84)/(SQRT(B84*B84))</f>
        <v>-1</v>
      </c>
      <c r="C90" s="96">
        <f>(-B85)/(SQRT(C85*B84))</f>
        <v>-0.03642032124</v>
      </c>
      <c r="D90" s="96">
        <f>(-B86)/SQRT(B84*D86)</f>
        <v>-0.02324074432</v>
      </c>
      <c r="E90" s="32"/>
      <c r="F90" s="1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94">
        <v>2.0</v>
      </c>
      <c r="B91" s="96">
        <f>(-B85)/(SQRT(C85*B84))</f>
        <v>-0.03642032124</v>
      </c>
      <c r="C91" s="96">
        <v>-1.0</v>
      </c>
      <c r="D91" s="96">
        <f>(-C86)/SQRT(D86*C85)</f>
        <v>0.1956382356</v>
      </c>
      <c r="E91" s="32"/>
      <c r="F91" s="97" t="s">
        <v>148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94">
        <v>3.0</v>
      </c>
      <c r="B92" s="96">
        <f>(-B86)/SQRT(B84*D86)</f>
        <v>-0.02324074432</v>
      </c>
      <c r="C92" s="96">
        <f>(-C86)/SQRT(D86*C85)</f>
        <v>0.1956382356</v>
      </c>
      <c r="D92" s="96">
        <v>-1.0</v>
      </c>
      <c r="E92" s="32"/>
      <c r="F92" s="1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2"/>
      <c r="B93" s="32"/>
      <c r="C93" s="32"/>
      <c r="D93" s="32"/>
      <c r="E93" s="32"/>
      <c r="F93" s="1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2"/>
      <c r="B94" s="32"/>
      <c r="C94" s="32"/>
      <c r="D94" s="32"/>
      <c r="E94" s="32"/>
      <c r="F94" s="1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2"/>
      <c r="B95" s="32"/>
      <c r="C95" s="32"/>
      <c r="D95" s="32"/>
      <c r="E95" s="32"/>
      <c r="F95" s="1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2"/>
      <c r="B96" s="32"/>
      <c r="C96" s="32"/>
      <c r="D96" s="32"/>
      <c r="E96" s="32"/>
      <c r="F96" s="1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2"/>
      <c r="B97" s="32"/>
      <c r="C97" s="32"/>
      <c r="D97" s="32"/>
      <c r="E97" s="32"/>
      <c r="F97" s="1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2"/>
      <c r="B98" s="32"/>
      <c r="C98" s="32"/>
      <c r="D98" s="32"/>
      <c r="E98" s="32"/>
      <c r="F98" s="1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2"/>
      <c r="B99" s="32"/>
      <c r="C99" s="32"/>
      <c r="D99" s="32"/>
      <c r="E99" s="32"/>
      <c r="F99" s="1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2"/>
      <c r="B100" s="32"/>
      <c r="C100" s="32"/>
      <c r="D100" s="32"/>
      <c r="E100" s="32"/>
      <c r="F100" s="1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2"/>
      <c r="B101" s="32"/>
      <c r="C101" s="32"/>
      <c r="D101" s="32"/>
      <c r="E101" s="32"/>
      <c r="F101" s="1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2"/>
      <c r="B102" s="32"/>
      <c r="C102" s="32"/>
      <c r="D102" s="32"/>
      <c r="E102" s="32"/>
      <c r="F102" s="1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2"/>
      <c r="B103" s="32"/>
      <c r="C103" s="32"/>
      <c r="D103" s="32"/>
      <c r="E103" s="32"/>
      <c r="F103" s="1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2"/>
      <c r="B104" s="32"/>
      <c r="C104" s="32"/>
      <c r="D104" s="32"/>
      <c r="E104" s="32"/>
      <c r="F104" s="1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2"/>
      <c r="B105" s="32"/>
      <c r="C105" s="32"/>
      <c r="D105" s="32"/>
      <c r="E105" s="32"/>
      <c r="F105" s="1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2"/>
      <c r="B106" s="32"/>
      <c r="C106" s="32"/>
      <c r="D106" s="32"/>
      <c r="E106" s="32"/>
      <c r="F106" s="1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2"/>
      <c r="B107" s="32"/>
      <c r="C107" s="32"/>
      <c r="D107" s="32"/>
      <c r="E107" s="32"/>
      <c r="F107" s="1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2"/>
      <c r="B108" s="32"/>
      <c r="C108" s="32"/>
      <c r="D108" s="32"/>
      <c r="E108" s="32"/>
      <c r="F108" s="1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2"/>
      <c r="B109" s="32"/>
      <c r="C109" s="32"/>
      <c r="D109" s="32"/>
      <c r="E109" s="32"/>
      <c r="F109" s="1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2"/>
      <c r="B128" s="1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2"/>
      <c r="B129" s="1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2"/>
      <c r="B130" s="1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2"/>
      <c r="B131" s="1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2"/>
      <c r="B132" s="1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2"/>
      <c r="B133" s="1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2"/>
      <c r="B134" s="1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2"/>
      <c r="B135" s="1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2"/>
      <c r="B136" s="1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2"/>
      <c r="B137" s="1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2"/>
      <c r="B138" s="1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2"/>
      <c r="B139" s="1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2"/>
      <c r="B140" s="1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2"/>
      <c r="B141" s="1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2"/>
      <c r="B142" s="1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2"/>
      <c r="B143" s="1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2"/>
      <c r="B144" s="1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2"/>
      <c r="B145" s="1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2"/>
      <c r="B146" s="1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2"/>
      <c r="B147" s="1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</sheetData>
  <mergeCells count="13">
    <mergeCell ref="A76:D76"/>
    <mergeCell ref="F76:I76"/>
    <mergeCell ref="A82:D82"/>
    <mergeCell ref="F82:I82"/>
    <mergeCell ref="A88:D88"/>
    <mergeCell ref="F91:I91"/>
    <mergeCell ref="M19:O19"/>
    <mergeCell ref="M24:N24"/>
    <mergeCell ref="K55:M55"/>
    <mergeCell ref="K60:L60"/>
    <mergeCell ref="F71:G71"/>
    <mergeCell ref="F72:G72"/>
    <mergeCell ref="F73:G7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32</v>
      </c>
      <c r="B1" s="37" t="s">
        <v>1</v>
      </c>
      <c r="C1" s="37" t="s">
        <v>2</v>
      </c>
      <c r="D1" s="37" t="s">
        <v>3</v>
      </c>
      <c r="E1" s="37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2">
        <v>1.0</v>
      </c>
      <c r="B2" s="38">
        <v>73.8</v>
      </c>
      <c r="C2" s="39">
        <v>5.0</v>
      </c>
      <c r="D2" s="39">
        <f t="shared" ref="D2:D42" si="1">2025-S2</f>
        <v>0</v>
      </c>
      <c r="E2" s="38">
        <v>107010.0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9">
        <v>2025.0</v>
      </c>
      <c r="T2" s="3"/>
      <c r="U2" s="3"/>
      <c r="V2" s="3"/>
      <c r="W2" s="3"/>
      <c r="X2" s="3"/>
      <c r="Y2" s="3"/>
      <c r="Z2" s="3"/>
    </row>
    <row r="3">
      <c r="A3" s="22">
        <v>2.0</v>
      </c>
      <c r="B3" s="38">
        <v>98.1</v>
      </c>
      <c r="C3" s="39">
        <v>6.0</v>
      </c>
      <c r="D3" s="39">
        <f t="shared" si="1"/>
        <v>10</v>
      </c>
      <c r="E3" s="38">
        <v>235000.0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9">
        <v>2015.0</v>
      </c>
      <c r="T3" s="3"/>
      <c r="U3" s="3"/>
      <c r="V3" s="3"/>
      <c r="W3" s="3"/>
      <c r="X3" s="3"/>
      <c r="Y3" s="3"/>
      <c r="Z3" s="3"/>
    </row>
    <row r="4">
      <c r="A4" s="22">
        <v>3.0</v>
      </c>
      <c r="B4" s="38">
        <v>76.9</v>
      </c>
      <c r="C4" s="39">
        <v>2.0</v>
      </c>
      <c r="D4" s="39">
        <f t="shared" si="1"/>
        <v>13</v>
      </c>
      <c r="E4" s="38">
        <v>169000.0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9">
        <v>2012.0</v>
      </c>
      <c r="T4" s="3"/>
      <c r="U4" s="3"/>
      <c r="V4" s="3"/>
      <c r="W4" s="3"/>
      <c r="X4" s="3"/>
      <c r="Y4" s="3"/>
      <c r="Z4" s="3"/>
    </row>
    <row r="5">
      <c r="A5" s="22">
        <v>4.0</v>
      </c>
      <c r="B5" s="39">
        <v>45.0</v>
      </c>
      <c r="C5" s="39">
        <v>4.0</v>
      </c>
      <c r="D5" s="39">
        <f t="shared" si="1"/>
        <v>63</v>
      </c>
      <c r="E5" s="38">
        <v>74000.0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9">
        <v>1962.0</v>
      </c>
      <c r="T5" s="3"/>
      <c r="U5" s="3"/>
      <c r="V5" s="3"/>
      <c r="W5" s="3"/>
      <c r="X5" s="3"/>
      <c r="Y5" s="3"/>
      <c r="Z5" s="3"/>
    </row>
    <row r="6">
      <c r="A6" s="22">
        <v>5.0</v>
      </c>
      <c r="B6" s="39">
        <v>55.6</v>
      </c>
      <c r="C6" s="39">
        <v>7.0</v>
      </c>
      <c r="D6" s="39">
        <f t="shared" si="1"/>
        <v>47</v>
      </c>
      <c r="E6" s="38">
        <v>108000.0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9">
        <v>1978.0</v>
      </c>
      <c r="T6" s="3"/>
      <c r="U6" s="3"/>
      <c r="V6" s="3"/>
      <c r="W6" s="3"/>
      <c r="X6" s="3"/>
      <c r="Y6" s="3"/>
      <c r="Z6" s="3"/>
    </row>
    <row r="7">
      <c r="A7" s="22">
        <v>6.0</v>
      </c>
      <c r="B7" s="39">
        <v>122.0</v>
      </c>
      <c r="C7" s="39">
        <v>30.0</v>
      </c>
      <c r="D7" s="39">
        <f t="shared" si="1"/>
        <v>3</v>
      </c>
      <c r="E7" s="38">
        <v>498000.0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9">
        <v>2022.0</v>
      </c>
      <c r="T7" s="3"/>
      <c r="U7" s="3"/>
      <c r="V7" s="3"/>
      <c r="W7" s="3"/>
      <c r="X7" s="3"/>
      <c r="Y7" s="3"/>
      <c r="Z7" s="3"/>
    </row>
    <row r="8">
      <c r="A8" s="22">
        <v>7.0</v>
      </c>
      <c r="B8" s="39">
        <v>48.9</v>
      </c>
      <c r="C8" s="39">
        <v>2.0</v>
      </c>
      <c r="D8" s="39">
        <f t="shared" si="1"/>
        <v>39</v>
      </c>
      <c r="E8" s="39">
        <v>99900.0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9">
        <v>1986.0</v>
      </c>
      <c r="T8" s="3"/>
      <c r="U8" s="3"/>
      <c r="V8" s="3"/>
      <c r="W8" s="3"/>
      <c r="X8" s="3"/>
      <c r="Y8" s="3"/>
      <c r="Z8" s="3"/>
    </row>
    <row r="9">
      <c r="A9" s="22">
        <v>8.0</v>
      </c>
      <c r="B9" s="39">
        <v>41.15</v>
      </c>
      <c r="C9" s="39">
        <v>10.0</v>
      </c>
      <c r="D9" s="39">
        <f t="shared" si="1"/>
        <v>0</v>
      </c>
      <c r="E9" s="39">
        <v>876415.0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9">
        <v>2025.0</v>
      </c>
      <c r="T9" s="3"/>
      <c r="U9" s="3"/>
      <c r="V9" s="3"/>
      <c r="W9" s="3"/>
      <c r="X9" s="3"/>
      <c r="Y9" s="3"/>
      <c r="Z9" s="3"/>
    </row>
    <row r="10">
      <c r="A10" s="22">
        <v>9.0</v>
      </c>
      <c r="B10" s="39">
        <v>42.1</v>
      </c>
      <c r="C10" s="39">
        <v>4.0</v>
      </c>
      <c r="D10" s="39">
        <f t="shared" si="1"/>
        <v>5</v>
      </c>
      <c r="E10" s="39">
        <v>121000.0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9">
        <v>2020.0</v>
      </c>
      <c r="T10" s="3"/>
      <c r="U10" s="3"/>
      <c r="V10" s="3"/>
      <c r="W10" s="3"/>
      <c r="X10" s="3"/>
      <c r="Y10" s="3"/>
      <c r="Z10" s="3"/>
    </row>
    <row r="11">
      <c r="A11" s="22">
        <v>10.0</v>
      </c>
      <c r="B11" s="39">
        <v>175.6</v>
      </c>
      <c r="C11" s="39">
        <v>5.0</v>
      </c>
      <c r="D11" s="39">
        <f t="shared" si="1"/>
        <v>0</v>
      </c>
      <c r="E11" s="39">
        <v>320000.0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9">
        <v>2025.0</v>
      </c>
      <c r="T11" s="3"/>
      <c r="U11" s="3"/>
      <c r="V11" s="3"/>
      <c r="W11" s="3"/>
      <c r="X11" s="3"/>
      <c r="Y11" s="3"/>
      <c r="Z11" s="3"/>
    </row>
    <row r="12">
      <c r="A12" s="22">
        <v>11.0</v>
      </c>
      <c r="B12" s="39">
        <v>56.6</v>
      </c>
      <c r="C12" s="39">
        <v>2.0</v>
      </c>
      <c r="D12" s="39">
        <f t="shared" si="1"/>
        <v>0</v>
      </c>
      <c r="E12" s="39">
        <v>97900.0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9">
        <v>2025.0</v>
      </c>
      <c r="T12" s="3"/>
      <c r="U12" s="3"/>
      <c r="V12" s="3"/>
      <c r="W12" s="3"/>
      <c r="X12" s="3"/>
      <c r="Y12" s="3"/>
      <c r="Z12" s="3"/>
    </row>
    <row r="13">
      <c r="A13" s="22">
        <v>12.0</v>
      </c>
      <c r="B13" s="39">
        <v>79.3</v>
      </c>
      <c r="C13" s="39">
        <v>5.0</v>
      </c>
      <c r="D13" s="39">
        <f t="shared" si="1"/>
        <v>14</v>
      </c>
      <c r="E13" s="39">
        <v>135000.0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9">
        <v>2011.0</v>
      </c>
      <c r="T13" s="3"/>
      <c r="U13" s="3"/>
      <c r="V13" s="3"/>
      <c r="W13" s="3"/>
      <c r="X13" s="3"/>
      <c r="Y13" s="3"/>
      <c r="Z13" s="3"/>
    </row>
    <row r="14">
      <c r="A14" s="22">
        <v>13.0</v>
      </c>
      <c r="B14" s="39">
        <v>32.2</v>
      </c>
      <c r="C14" s="39">
        <v>5.0</v>
      </c>
      <c r="D14" s="39">
        <f t="shared" si="1"/>
        <v>2</v>
      </c>
      <c r="E14" s="39">
        <v>112900.0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9">
        <v>2023.0</v>
      </c>
      <c r="T14" s="3"/>
      <c r="U14" s="3"/>
      <c r="V14" s="3"/>
      <c r="W14" s="3"/>
      <c r="X14" s="3"/>
      <c r="Y14" s="3"/>
      <c r="Z14" s="3"/>
    </row>
    <row r="15">
      <c r="A15" s="22">
        <v>14.0</v>
      </c>
      <c r="B15" s="39">
        <v>107.7</v>
      </c>
      <c r="C15" s="39">
        <v>16.0</v>
      </c>
      <c r="D15" s="39">
        <f t="shared" si="1"/>
        <v>21</v>
      </c>
      <c r="E15" s="39">
        <v>235000.0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9">
        <v>2004.0</v>
      </c>
      <c r="T15" s="3"/>
      <c r="U15" s="3"/>
      <c r="V15" s="3"/>
      <c r="W15" s="3"/>
      <c r="X15" s="3"/>
      <c r="Y15" s="3"/>
      <c r="Z15" s="3"/>
    </row>
    <row r="16">
      <c r="A16" s="22">
        <v>15.0</v>
      </c>
      <c r="B16" s="39">
        <v>65.5</v>
      </c>
      <c r="C16" s="39">
        <v>2.0</v>
      </c>
      <c r="D16" s="39">
        <f t="shared" si="1"/>
        <v>19</v>
      </c>
      <c r="E16" s="39">
        <v>218000.0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9">
        <v>2006.0</v>
      </c>
      <c r="T16" s="3"/>
      <c r="U16" s="3"/>
      <c r="V16" s="3"/>
      <c r="W16" s="3"/>
      <c r="X16" s="3"/>
      <c r="Y16" s="3"/>
      <c r="Z16" s="3"/>
    </row>
    <row r="17">
      <c r="A17" s="22">
        <v>16.0</v>
      </c>
      <c r="B17" s="39">
        <v>35.3</v>
      </c>
      <c r="C17" s="39">
        <v>2.0</v>
      </c>
      <c r="D17" s="39">
        <f t="shared" si="1"/>
        <v>21</v>
      </c>
      <c r="E17" s="39">
        <v>63000.0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9">
        <v>2004.0</v>
      </c>
      <c r="T17" s="3"/>
      <c r="U17" s="3"/>
      <c r="V17" s="3"/>
      <c r="W17" s="3"/>
      <c r="X17" s="3"/>
      <c r="Y17" s="3"/>
      <c r="Z17" s="3"/>
    </row>
    <row r="18">
      <c r="A18" s="22">
        <v>17.0</v>
      </c>
      <c r="B18" s="39">
        <v>45.8</v>
      </c>
      <c r="C18" s="39">
        <v>7.0</v>
      </c>
      <c r="D18" s="39">
        <f t="shared" si="1"/>
        <v>2</v>
      </c>
      <c r="E18" s="39">
        <v>84000.0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9">
        <v>2023.0</v>
      </c>
      <c r="T18" s="3"/>
      <c r="U18" s="3"/>
      <c r="V18" s="3"/>
      <c r="W18" s="3"/>
      <c r="X18" s="3"/>
      <c r="Y18" s="3"/>
      <c r="Z18" s="3"/>
    </row>
    <row r="19">
      <c r="A19" s="22">
        <v>18.0</v>
      </c>
      <c r="B19" s="39">
        <v>94.2</v>
      </c>
      <c r="C19" s="39">
        <v>12.0</v>
      </c>
      <c r="D19" s="39">
        <f t="shared" si="1"/>
        <v>8</v>
      </c>
      <c r="E19" s="39">
        <v>189000.0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9">
        <v>2017.0</v>
      </c>
      <c r="T19" s="3"/>
      <c r="U19" s="3"/>
      <c r="V19" s="3"/>
      <c r="W19" s="3"/>
      <c r="X19" s="3"/>
      <c r="Y19" s="3"/>
      <c r="Z19" s="3"/>
    </row>
    <row r="20">
      <c r="A20" s="22">
        <v>19.0</v>
      </c>
      <c r="B20" s="39">
        <v>58.3</v>
      </c>
      <c r="C20" s="39">
        <v>13.0</v>
      </c>
      <c r="D20" s="39">
        <f t="shared" si="1"/>
        <v>1</v>
      </c>
      <c r="E20" s="39">
        <v>129000.0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9">
        <v>2024.0</v>
      </c>
      <c r="T20" s="3"/>
      <c r="U20" s="3"/>
      <c r="V20" s="3"/>
      <c r="W20" s="3"/>
      <c r="X20" s="3"/>
      <c r="Y20" s="3"/>
      <c r="Z20" s="3"/>
    </row>
    <row r="21">
      <c r="A21" s="22">
        <v>20.0</v>
      </c>
      <c r="B21" s="39">
        <v>58.2</v>
      </c>
      <c r="C21" s="39">
        <v>8.0</v>
      </c>
      <c r="D21" s="39">
        <f t="shared" si="1"/>
        <v>2</v>
      </c>
      <c r="E21" s="39">
        <v>104900.0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9">
        <v>2023.0</v>
      </c>
      <c r="T21" s="3"/>
      <c r="U21" s="3"/>
      <c r="V21" s="3"/>
      <c r="W21" s="3"/>
      <c r="X21" s="3"/>
      <c r="Y21" s="3"/>
      <c r="Z21" s="3"/>
    </row>
    <row r="22">
      <c r="A22" s="22">
        <v>21.0</v>
      </c>
      <c r="B22" s="39">
        <v>133.1</v>
      </c>
      <c r="C22" s="39">
        <v>4.0</v>
      </c>
      <c r="D22" s="39">
        <f t="shared" si="1"/>
        <v>18</v>
      </c>
      <c r="E22" s="39">
        <v>284900.0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9">
        <v>2007.0</v>
      </c>
      <c r="T22" s="3"/>
      <c r="U22" s="3"/>
      <c r="V22" s="3"/>
      <c r="W22" s="3"/>
      <c r="X22" s="3"/>
      <c r="Y22" s="3"/>
      <c r="Z22" s="3"/>
    </row>
    <row r="23">
      <c r="A23" s="22">
        <v>22.0</v>
      </c>
      <c r="B23" s="39">
        <v>63.5</v>
      </c>
      <c r="C23" s="39">
        <v>10.0</v>
      </c>
      <c r="D23" s="39">
        <f t="shared" si="1"/>
        <v>0</v>
      </c>
      <c r="E23" s="39">
        <v>132700.0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9">
        <v>2025.0</v>
      </c>
      <c r="T23" s="3"/>
      <c r="U23" s="3"/>
      <c r="V23" s="3"/>
      <c r="W23" s="3"/>
      <c r="X23" s="3"/>
      <c r="Y23" s="3"/>
      <c r="Z23" s="3"/>
    </row>
    <row r="24">
      <c r="A24" s="22">
        <v>23.0</v>
      </c>
      <c r="B24" s="39">
        <v>55.6</v>
      </c>
      <c r="C24" s="39">
        <v>22.0</v>
      </c>
      <c r="D24" s="39">
        <f t="shared" si="1"/>
        <v>4</v>
      </c>
      <c r="E24" s="39">
        <v>144900.0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9">
        <v>2021.0</v>
      </c>
      <c r="T24" s="3"/>
      <c r="U24" s="3"/>
      <c r="V24" s="3"/>
      <c r="W24" s="3"/>
      <c r="X24" s="3"/>
      <c r="Y24" s="3"/>
      <c r="Z24" s="3"/>
    </row>
    <row r="25">
      <c r="A25" s="22">
        <v>24.0</v>
      </c>
      <c r="B25" s="39">
        <v>61.0</v>
      </c>
      <c r="C25" s="39">
        <v>7.0</v>
      </c>
      <c r="D25" s="39">
        <f t="shared" si="1"/>
        <v>17</v>
      </c>
      <c r="E25" s="39">
        <v>117500.0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9">
        <v>2008.0</v>
      </c>
      <c r="T25" s="3"/>
      <c r="U25" s="3"/>
      <c r="V25" s="3"/>
      <c r="W25" s="3"/>
      <c r="X25" s="3"/>
      <c r="Y25" s="3"/>
      <c r="Z25" s="3"/>
    </row>
    <row r="26">
      <c r="A26" s="22">
        <v>25.0</v>
      </c>
      <c r="B26" s="39">
        <v>35.2</v>
      </c>
      <c r="C26" s="39">
        <v>1.0</v>
      </c>
      <c r="D26" s="39">
        <f t="shared" si="1"/>
        <v>38</v>
      </c>
      <c r="E26" s="39">
        <v>87500.0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9">
        <v>1987.0</v>
      </c>
      <c r="T26" s="3"/>
      <c r="U26" s="3"/>
      <c r="V26" s="3"/>
      <c r="W26" s="3"/>
      <c r="X26" s="3"/>
      <c r="Y26" s="3"/>
      <c r="Z26" s="3"/>
    </row>
    <row r="27">
      <c r="A27" s="22">
        <v>26.0</v>
      </c>
      <c r="B27" s="39">
        <v>34.9</v>
      </c>
      <c r="C27" s="39">
        <v>8.0</v>
      </c>
      <c r="D27" s="39">
        <f t="shared" si="1"/>
        <v>49</v>
      </c>
      <c r="E27" s="39">
        <v>65000.0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9">
        <v>1976.0</v>
      </c>
      <c r="T27" s="3"/>
      <c r="U27" s="3"/>
      <c r="V27" s="3"/>
      <c r="W27" s="3"/>
      <c r="X27" s="3"/>
      <c r="Y27" s="3"/>
      <c r="Z27" s="3"/>
    </row>
    <row r="28">
      <c r="A28" s="22">
        <v>27.0</v>
      </c>
      <c r="B28" s="39">
        <v>32.0</v>
      </c>
      <c r="C28" s="39">
        <v>2.0</v>
      </c>
      <c r="D28" s="39">
        <f t="shared" si="1"/>
        <v>64</v>
      </c>
      <c r="E28" s="39">
        <v>63700.0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9">
        <v>1961.0</v>
      </c>
      <c r="T28" s="3"/>
      <c r="U28" s="3"/>
      <c r="V28" s="3"/>
      <c r="W28" s="3"/>
      <c r="X28" s="3"/>
      <c r="Y28" s="3"/>
      <c r="Z28" s="3"/>
    </row>
    <row r="29">
      <c r="A29" s="22">
        <v>28.0</v>
      </c>
      <c r="B29" s="39">
        <v>34.6</v>
      </c>
      <c r="C29" s="39">
        <v>9.0</v>
      </c>
      <c r="D29" s="39">
        <f t="shared" si="1"/>
        <v>2</v>
      </c>
      <c r="E29" s="39">
        <v>87500.0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9">
        <v>2023.0</v>
      </c>
      <c r="T29" s="3"/>
      <c r="U29" s="3"/>
      <c r="V29" s="3"/>
      <c r="W29" s="3"/>
      <c r="X29" s="3"/>
      <c r="Y29" s="3"/>
      <c r="Z29" s="3"/>
    </row>
    <row r="30">
      <c r="A30" s="22">
        <v>29.0</v>
      </c>
      <c r="B30" s="39">
        <v>44.9</v>
      </c>
      <c r="C30" s="39">
        <v>11.0</v>
      </c>
      <c r="D30" s="39">
        <f t="shared" si="1"/>
        <v>15</v>
      </c>
      <c r="E30" s="39">
        <v>77900.0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9">
        <v>2010.0</v>
      </c>
      <c r="T30" s="3"/>
      <c r="U30" s="3"/>
      <c r="V30" s="3"/>
      <c r="W30" s="3"/>
      <c r="X30" s="3"/>
      <c r="Y30" s="3"/>
      <c r="Z30" s="3"/>
    </row>
    <row r="31">
      <c r="A31" s="22">
        <v>30.0</v>
      </c>
      <c r="B31" s="39">
        <v>90.3</v>
      </c>
      <c r="C31" s="39">
        <v>16.0</v>
      </c>
      <c r="D31" s="39">
        <f t="shared" si="1"/>
        <v>0</v>
      </c>
      <c r="E31" s="39">
        <v>190000.0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9">
        <v>2025.0</v>
      </c>
      <c r="T31" s="3"/>
      <c r="U31" s="3"/>
      <c r="V31" s="3"/>
      <c r="W31" s="3"/>
      <c r="X31" s="3"/>
      <c r="Y31" s="3"/>
      <c r="Z31" s="3"/>
    </row>
    <row r="32">
      <c r="A32" s="22">
        <v>31.0</v>
      </c>
      <c r="B32" s="39">
        <v>26.1</v>
      </c>
      <c r="C32" s="39">
        <v>24.0</v>
      </c>
      <c r="D32" s="39">
        <f t="shared" si="1"/>
        <v>3</v>
      </c>
      <c r="E32" s="39">
        <v>87000.0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9">
        <v>2022.0</v>
      </c>
      <c r="T32" s="3"/>
      <c r="U32" s="3"/>
      <c r="V32" s="3"/>
      <c r="W32" s="3"/>
      <c r="X32" s="3"/>
      <c r="Y32" s="3"/>
      <c r="Z32" s="3"/>
    </row>
    <row r="33">
      <c r="A33" s="22">
        <v>32.0</v>
      </c>
      <c r="B33" s="39">
        <v>39.5</v>
      </c>
      <c r="C33" s="39">
        <v>18.0</v>
      </c>
      <c r="D33" s="39">
        <f t="shared" si="1"/>
        <v>4</v>
      </c>
      <c r="E33" s="39">
        <v>109000.0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9">
        <v>2021.0</v>
      </c>
      <c r="T33" s="3"/>
      <c r="U33" s="3"/>
      <c r="V33" s="3"/>
      <c r="W33" s="3"/>
      <c r="X33" s="3"/>
      <c r="Y33" s="3"/>
      <c r="Z33" s="3"/>
    </row>
    <row r="34">
      <c r="A34" s="22">
        <v>33.0</v>
      </c>
      <c r="B34" s="39">
        <v>68.4</v>
      </c>
      <c r="C34" s="39">
        <v>7.0</v>
      </c>
      <c r="D34" s="39">
        <f t="shared" si="1"/>
        <v>8</v>
      </c>
      <c r="E34" s="39">
        <v>130000.0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9">
        <v>2017.0</v>
      </c>
      <c r="T34" s="3"/>
      <c r="U34" s="3"/>
      <c r="V34" s="3"/>
      <c r="W34" s="3"/>
      <c r="X34" s="3"/>
      <c r="Y34" s="3"/>
      <c r="Z34" s="3"/>
    </row>
    <row r="35">
      <c r="A35" s="22">
        <v>34.0</v>
      </c>
      <c r="B35" s="39">
        <v>49.9</v>
      </c>
      <c r="C35" s="39">
        <v>5.0</v>
      </c>
      <c r="D35" s="39">
        <f t="shared" si="1"/>
        <v>56</v>
      </c>
      <c r="E35" s="39">
        <v>104000.0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9">
        <v>1969.0</v>
      </c>
      <c r="T35" s="3"/>
      <c r="U35" s="3"/>
      <c r="V35" s="3"/>
      <c r="W35" s="3"/>
      <c r="X35" s="3"/>
      <c r="Y35" s="3"/>
      <c r="Z35" s="3"/>
    </row>
    <row r="36">
      <c r="A36" s="22">
        <v>35.0</v>
      </c>
      <c r="B36" s="39">
        <v>57.1</v>
      </c>
      <c r="C36" s="39">
        <v>2.0</v>
      </c>
      <c r="D36" s="39">
        <f t="shared" si="1"/>
        <v>1</v>
      </c>
      <c r="E36" s="39">
        <v>135000.0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9">
        <v>2024.0</v>
      </c>
      <c r="T36" s="3"/>
      <c r="U36" s="3"/>
      <c r="V36" s="3"/>
      <c r="W36" s="3"/>
      <c r="X36" s="3"/>
      <c r="Y36" s="3"/>
      <c r="Z36" s="3"/>
    </row>
    <row r="37">
      <c r="A37" s="22">
        <v>36.0</v>
      </c>
      <c r="B37" s="39">
        <v>37.5</v>
      </c>
      <c r="C37" s="39">
        <v>24.0</v>
      </c>
      <c r="D37" s="39">
        <f t="shared" si="1"/>
        <v>0</v>
      </c>
      <c r="E37" s="39">
        <v>93000.0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9">
        <v>2025.0</v>
      </c>
      <c r="T37" s="3"/>
      <c r="U37" s="3"/>
      <c r="V37" s="3"/>
      <c r="W37" s="3"/>
      <c r="X37" s="3"/>
      <c r="Y37" s="3"/>
      <c r="Z37" s="3"/>
    </row>
    <row r="38">
      <c r="A38" s="22">
        <v>37.0</v>
      </c>
      <c r="B38" s="39">
        <v>60.0</v>
      </c>
      <c r="C38" s="39">
        <v>2.0</v>
      </c>
      <c r="D38" s="39">
        <f t="shared" si="1"/>
        <v>0</v>
      </c>
      <c r="E38" s="39">
        <v>112000.0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9">
        <v>2025.0</v>
      </c>
      <c r="T38" s="3"/>
      <c r="U38" s="3"/>
      <c r="V38" s="3"/>
      <c r="W38" s="3"/>
      <c r="X38" s="3"/>
      <c r="Y38" s="3"/>
      <c r="Z38" s="3"/>
    </row>
    <row r="39">
      <c r="A39" s="22">
        <v>38.0</v>
      </c>
      <c r="B39" s="39">
        <v>30.3</v>
      </c>
      <c r="C39" s="39">
        <v>1.0</v>
      </c>
      <c r="D39" s="39">
        <f t="shared" si="1"/>
        <v>64</v>
      </c>
      <c r="E39" s="39">
        <v>58000.0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9">
        <v>1961.0</v>
      </c>
      <c r="T39" s="3"/>
      <c r="U39" s="3"/>
      <c r="V39" s="3"/>
      <c r="W39" s="3"/>
      <c r="X39" s="3"/>
      <c r="Y39" s="3"/>
      <c r="Z39" s="3"/>
    </row>
    <row r="40">
      <c r="A40" s="22">
        <v>39.0</v>
      </c>
      <c r="B40" s="39">
        <v>33.3</v>
      </c>
      <c r="C40" s="39">
        <v>5.0</v>
      </c>
      <c r="D40" s="39">
        <f t="shared" si="1"/>
        <v>51</v>
      </c>
      <c r="E40" s="39">
        <v>64900.0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9">
        <v>1974.0</v>
      </c>
      <c r="T40" s="3"/>
      <c r="U40" s="3"/>
      <c r="V40" s="3"/>
      <c r="W40" s="3"/>
      <c r="X40" s="3"/>
      <c r="Y40" s="3"/>
      <c r="Z40" s="3"/>
    </row>
    <row r="41">
      <c r="A41" s="22">
        <v>40.0</v>
      </c>
      <c r="B41" s="39">
        <v>58.9</v>
      </c>
      <c r="C41" s="39">
        <v>10.0</v>
      </c>
      <c r="D41" s="39">
        <f t="shared" si="1"/>
        <v>3</v>
      </c>
      <c r="E41" s="39">
        <v>115000.0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9">
        <v>2022.0</v>
      </c>
      <c r="T41" s="3"/>
      <c r="U41" s="3"/>
      <c r="V41" s="3"/>
      <c r="W41" s="3"/>
      <c r="X41" s="3"/>
      <c r="Y41" s="3"/>
      <c r="Z41" s="3"/>
    </row>
    <row r="42">
      <c r="A42" s="22">
        <v>41.0</v>
      </c>
      <c r="B42" s="39">
        <v>49.8</v>
      </c>
      <c r="C42" s="39">
        <v>2.0</v>
      </c>
      <c r="D42" s="39">
        <f t="shared" si="1"/>
        <v>35</v>
      </c>
      <c r="E42" s="39">
        <v>101000.0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9">
        <v>1990.0</v>
      </c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9" t="s">
        <v>58</v>
      </c>
      <c r="B52" s="1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8</v>
      </c>
      <c r="B53" s="11">
        <v>0.4709236382866481</v>
      </c>
      <c r="C53" s="3"/>
      <c r="D53" s="3"/>
      <c r="E53" s="3"/>
      <c r="F53" s="3"/>
      <c r="G53" s="3"/>
      <c r="H53" s="3"/>
      <c r="I53" s="3"/>
      <c r="J53" s="14"/>
      <c r="K53" s="14"/>
      <c r="L53" s="14"/>
      <c r="M53" s="14"/>
      <c r="N53" s="14"/>
      <c r="O53" s="14"/>
      <c r="P53" s="14"/>
      <c r="Q53" s="14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9</v>
      </c>
      <c r="B54" s="11">
        <v>0.22176907309713378</v>
      </c>
      <c r="C54" s="3"/>
      <c r="D54" s="3"/>
      <c r="E54" s="3"/>
      <c r="F54" s="3"/>
      <c r="G54" s="3"/>
      <c r="H54" s="3"/>
      <c r="I54" s="3"/>
      <c r="J54" s="14"/>
      <c r="K54" s="14"/>
      <c r="L54" s="14"/>
      <c r="M54" s="14"/>
      <c r="N54" s="14"/>
      <c r="O54" s="14"/>
      <c r="P54" s="14"/>
      <c r="Q54" s="14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10</v>
      </c>
      <c r="B55" s="11">
        <v>0.15866926821311755</v>
      </c>
      <c r="C55" s="3"/>
      <c r="D55" s="3"/>
      <c r="E55" s="3"/>
      <c r="F55" s="3"/>
      <c r="G55" s="3"/>
      <c r="H55" s="3"/>
      <c r="I55" s="3"/>
      <c r="J55" s="14"/>
      <c r="K55" s="40"/>
      <c r="N55" s="14"/>
      <c r="O55" s="14"/>
      <c r="P55" s="14"/>
      <c r="Q55" s="14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11</v>
      </c>
      <c r="B56" s="11">
        <v>130567.16181937551</v>
      </c>
      <c r="C56" s="3"/>
      <c r="D56" s="3"/>
      <c r="E56" s="3"/>
      <c r="F56" s="3"/>
      <c r="G56" s="3"/>
      <c r="H56" s="3"/>
      <c r="I56" s="3"/>
      <c r="J56" s="14"/>
      <c r="K56" s="14"/>
      <c r="L56" s="14"/>
      <c r="M56" s="14"/>
      <c r="N56" s="14"/>
      <c r="O56" s="14"/>
      <c r="P56" s="14"/>
      <c r="Q56" s="14"/>
      <c r="R56" s="3"/>
      <c r="S56" s="3"/>
      <c r="T56" s="3"/>
      <c r="U56" s="3"/>
      <c r="V56" s="3"/>
      <c r="W56" s="3"/>
      <c r="X56" s="3"/>
      <c r="Y56" s="3"/>
      <c r="Z56" s="3"/>
    </row>
    <row r="57">
      <c r="A57" s="12" t="s">
        <v>12</v>
      </c>
      <c r="B57" s="13">
        <v>41.0</v>
      </c>
      <c r="C57" s="3"/>
      <c r="D57" s="3"/>
      <c r="E57" s="3"/>
      <c r="F57" s="3"/>
      <c r="G57" s="3"/>
      <c r="H57" s="3"/>
      <c r="I57" s="3"/>
      <c r="J57" s="14"/>
      <c r="K57" s="14"/>
      <c r="L57" s="16"/>
      <c r="M57" s="14"/>
      <c r="N57" s="16"/>
      <c r="O57" s="14"/>
      <c r="P57" s="14"/>
      <c r="Q57" s="14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14"/>
      <c r="K58" s="14"/>
      <c r="L58" s="16"/>
      <c r="M58" s="14"/>
      <c r="N58" s="16"/>
      <c r="O58" s="14"/>
      <c r="P58" s="14"/>
      <c r="Q58" s="14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13</v>
      </c>
      <c r="B59" s="3"/>
      <c r="C59" s="3"/>
      <c r="D59" s="3"/>
      <c r="E59" s="3"/>
      <c r="F59" s="3"/>
      <c r="G59" s="3"/>
      <c r="H59" s="3"/>
      <c r="I59" s="3"/>
      <c r="J59" s="14"/>
      <c r="K59" s="14"/>
      <c r="L59" s="16"/>
      <c r="M59" s="14"/>
      <c r="N59" s="16"/>
      <c r="O59" s="14"/>
      <c r="P59" s="14"/>
      <c r="Q59" s="14"/>
      <c r="R59" s="3"/>
      <c r="S59" s="3"/>
      <c r="T59" s="3"/>
      <c r="U59" s="3"/>
      <c r="V59" s="3"/>
      <c r="W59" s="3"/>
      <c r="X59" s="3"/>
      <c r="Y59" s="3"/>
      <c r="Z59" s="3"/>
    </row>
    <row r="60">
      <c r="A60" s="10"/>
      <c r="B60" s="9" t="s">
        <v>14</v>
      </c>
      <c r="C60" s="9" t="s">
        <v>15</v>
      </c>
      <c r="D60" s="9" t="s">
        <v>16</v>
      </c>
      <c r="E60" s="9" t="s">
        <v>17</v>
      </c>
      <c r="F60" s="9" t="s">
        <v>18</v>
      </c>
      <c r="G60" s="3"/>
      <c r="H60" s="3"/>
      <c r="I60" s="3"/>
      <c r="J60" s="14"/>
      <c r="K60" s="40"/>
      <c r="M60" s="14"/>
      <c r="N60" s="14"/>
      <c r="O60" s="14"/>
      <c r="P60" s="14"/>
      <c r="Q60" s="14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19</v>
      </c>
      <c r="B61" s="11">
        <v>3.0</v>
      </c>
      <c r="C61" s="11">
        <v>1.7974720555304553E11</v>
      </c>
      <c r="D61" s="11">
        <v>5.991573518434851E10</v>
      </c>
      <c r="E61" s="11">
        <v>3.5145762099386473</v>
      </c>
      <c r="F61" s="11">
        <v>0.024436696241720735</v>
      </c>
      <c r="G61" s="3"/>
      <c r="H61" s="3"/>
      <c r="I61" s="3"/>
      <c r="J61" s="14"/>
      <c r="K61" s="14"/>
      <c r="L61" s="14"/>
      <c r="M61" s="14"/>
      <c r="N61" s="14"/>
      <c r="O61" s="14"/>
      <c r="P61" s="14"/>
      <c r="Q61" s="14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20</v>
      </c>
      <c r="B62" s="11">
        <v>37.0</v>
      </c>
      <c r="C62" s="11">
        <v>6.307679985859786E11</v>
      </c>
      <c r="D62" s="11">
        <v>1.704778374556699E10</v>
      </c>
      <c r="E62" s="3"/>
      <c r="F62" s="3"/>
      <c r="G62" s="3"/>
      <c r="H62" s="3"/>
      <c r="I62" s="3"/>
      <c r="J62" s="14"/>
      <c r="K62" s="14"/>
      <c r="L62" s="14"/>
      <c r="M62" s="14"/>
      <c r="N62" s="14"/>
      <c r="O62" s="14"/>
      <c r="P62" s="14"/>
      <c r="Q62" s="14"/>
      <c r="R62" s="3"/>
      <c r="S62" s="3"/>
      <c r="T62" s="3"/>
      <c r="U62" s="3"/>
      <c r="V62" s="3"/>
      <c r="W62" s="3"/>
      <c r="X62" s="3"/>
      <c r="Y62" s="3"/>
      <c r="Z62" s="3"/>
    </row>
    <row r="63">
      <c r="A63" s="12" t="s">
        <v>21</v>
      </c>
      <c r="B63" s="13">
        <v>40.0</v>
      </c>
      <c r="C63" s="13">
        <v>8.105152041390242E11</v>
      </c>
      <c r="D63" s="12"/>
      <c r="E63" s="12"/>
      <c r="F63" s="12"/>
      <c r="G63" s="3"/>
      <c r="H63" s="3"/>
      <c r="I63" s="3"/>
      <c r="J63" s="14"/>
      <c r="K63" s="14"/>
      <c r="L63" s="16"/>
      <c r="M63" s="16"/>
      <c r="N63" s="16"/>
      <c r="O63" s="16"/>
      <c r="P63" s="16"/>
      <c r="Q63" s="16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14"/>
      <c r="K64" s="14"/>
      <c r="L64" s="16"/>
      <c r="M64" s="16"/>
      <c r="N64" s="16"/>
      <c r="O64" s="16"/>
      <c r="P64" s="16"/>
      <c r="Q64" s="16"/>
      <c r="R64" s="3"/>
      <c r="S64" s="3"/>
      <c r="T64" s="3"/>
      <c r="U64" s="3"/>
      <c r="V64" s="3"/>
      <c r="W64" s="3"/>
      <c r="X64" s="3"/>
      <c r="Y64" s="3"/>
      <c r="Z64" s="3"/>
    </row>
    <row r="65">
      <c r="A65" s="10"/>
      <c r="B65" s="9" t="s">
        <v>22</v>
      </c>
      <c r="C65" s="9" t="s">
        <v>11</v>
      </c>
      <c r="D65" s="9" t="s">
        <v>23</v>
      </c>
      <c r="E65" s="9" t="s">
        <v>24</v>
      </c>
      <c r="F65" s="9" t="s">
        <v>25</v>
      </c>
      <c r="G65" s="9" t="s">
        <v>26</v>
      </c>
      <c r="H65" s="9" t="s">
        <v>25</v>
      </c>
      <c r="I65" s="9" t="s">
        <v>26</v>
      </c>
      <c r="J65" s="14"/>
      <c r="K65" s="14"/>
      <c r="L65" s="16"/>
      <c r="M65" s="16"/>
      <c r="N65" s="16"/>
      <c r="O65" s="16"/>
      <c r="P65" s="16"/>
      <c r="Q65" s="16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27</v>
      </c>
      <c r="B66" s="11">
        <v>45312.75470022019</v>
      </c>
      <c r="C66" s="11">
        <v>64168.146796101646</v>
      </c>
      <c r="D66" s="11">
        <v>0.7061565116443886</v>
      </c>
      <c r="E66" s="11">
        <v>0.48451388092365366</v>
      </c>
      <c r="F66" s="11">
        <v>-84704.25970144256</v>
      </c>
      <c r="G66" s="11">
        <v>175329.76910188294</v>
      </c>
      <c r="H66" s="11">
        <v>-84704.25970144256</v>
      </c>
      <c r="I66" s="11">
        <v>175329.76910188294</v>
      </c>
      <c r="J66" s="14"/>
      <c r="K66" s="14"/>
      <c r="L66" s="14"/>
      <c r="M66" s="14"/>
      <c r="N66" s="14"/>
      <c r="O66" s="14"/>
      <c r="P66" s="14"/>
      <c r="Q66" s="14"/>
      <c r="R66" s="3"/>
      <c r="S66" s="3"/>
      <c r="T66" s="3"/>
      <c r="U66" s="3"/>
      <c r="V66" s="3"/>
      <c r="W66" s="3"/>
      <c r="X66" s="3"/>
      <c r="Y66" s="3"/>
      <c r="Z66" s="3"/>
    </row>
    <row r="67">
      <c r="A67" s="12" t="s">
        <v>1</v>
      </c>
      <c r="B67" s="13">
        <v>1604.2741068057308</v>
      </c>
      <c r="C67" s="13">
        <v>696.4626147356844</v>
      </c>
      <c r="D67" s="13">
        <v>2.3034604770775404</v>
      </c>
      <c r="E67" s="13">
        <v>0.026972850241539507</v>
      </c>
      <c r="F67" s="13">
        <v>193.10681693457627</v>
      </c>
      <c r="G67" s="13">
        <v>3015.4413966768852</v>
      </c>
      <c r="H67" s="13">
        <v>193.10681693457627</v>
      </c>
      <c r="I67" s="13">
        <v>3015.4413966768852</v>
      </c>
      <c r="J67" s="14"/>
      <c r="K67" s="14"/>
      <c r="L67" s="14"/>
      <c r="M67" s="14"/>
      <c r="N67" s="14"/>
      <c r="O67" s="14"/>
      <c r="P67" s="14"/>
      <c r="Q67" s="14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2</v>
      </c>
      <c r="B68" s="11">
        <v>3177.317321328853</v>
      </c>
      <c r="C68" s="11">
        <v>3172.16413502569</v>
      </c>
      <c r="D68" s="11">
        <v>1.0016245017861036</v>
      </c>
      <c r="E68" s="11">
        <v>0.3230308504959925</v>
      </c>
      <c r="F68" s="11">
        <v>-3250.0976909608507</v>
      </c>
      <c r="G68" s="11">
        <v>9604.732333618556</v>
      </c>
      <c r="H68" s="11">
        <v>-3250.0976909608507</v>
      </c>
      <c r="I68" s="11">
        <v>9604.732333618556</v>
      </c>
      <c r="J68" s="14"/>
      <c r="K68" s="14"/>
      <c r="L68" s="16"/>
      <c r="M68" s="14"/>
      <c r="N68" s="14"/>
      <c r="O68" s="14"/>
      <c r="P68" s="14"/>
      <c r="Q68" s="14"/>
      <c r="R68" s="3"/>
      <c r="S68" s="3"/>
      <c r="T68" s="3"/>
      <c r="U68" s="3"/>
      <c r="V68" s="3"/>
      <c r="W68" s="3"/>
      <c r="X68" s="3"/>
      <c r="Y68" s="3"/>
      <c r="Z68" s="3"/>
    </row>
    <row r="69">
      <c r="A69" s="12" t="s">
        <v>3</v>
      </c>
      <c r="B69" s="13">
        <v>-875.8033917117555</v>
      </c>
      <c r="C69" s="13">
        <v>1122.2824016173672</v>
      </c>
      <c r="D69" s="13">
        <v>-0.7803770160251994</v>
      </c>
      <c r="E69" s="13">
        <v>0.4401331073393758</v>
      </c>
      <c r="F69" s="13">
        <v>-3149.7635177143748</v>
      </c>
      <c r="G69" s="13">
        <v>1398.1567342908638</v>
      </c>
      <c r="H69" s="13">
        <v>-3149.7635177143748</v>
      </c>
      <c r="I69" s="13">
        <v>1398.1567342908638</v>
      </c>
      <c r="J69" s="14"/>
      <c r="K69" s="14"/>
      <c r="L69" s="14"/>
      <c r="M69" s="14"/>
      <c r="N69" s="14"/>
      <c r="O69" s="14"/>
      <c r="P69" s="14"/>
      <c r="Q69" s="14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14"/>
      <c r="K70" s="14"/>
      <c r="L70" s="14"/>
      <c r="M70" s="14"/>
      <c r="N70" s="14"/>
      <c r="O70" s="14"/>
      <c r="P70" s="14"/>
      <c r="Q70" s="14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14"/>
      <c r="K71" s="14"/>
      <c r="L71" s="16"/>
      <c r="M71" s="14"/>
      <c r="N71" s="16"/>
      <c r="O71" s="14"/>
      <c r="P71" s="14"/>
      <c r="Q71" s="14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14"/>
      <c r="K72" s="14"/>
      <c r="L72" s="16"/>
      <c r="M72" s="14"/>
      <c r="N72" s="16"/>
      <c r="O72" s="14"/>
      <c r="P72" s="14"/>
      <c r="Q72" s="14"/>
      <c r="R72" s="3"/>
      <c r="S72" s="3"/>
      <c r="T72" s="3"/>
      <c r="U72" s="3"/>
      <c r="V72" s="3"/>
      <c r="W72" s="3"/>
      <c r="X72" s="3"/>
      <c r="Y72" s="3"/>
      <c r="Z72" s="3"/>
    </row>
    <row r="73">
      <c r="A73" s="9" t="s">
        <v>28</v>
      </c>
      <c r="B73" s="10"/>
      <c r="C73" s="10"/>
      <c r="D73" s="3"/>
      <c r="E73" s="3"/>
      <c r="F73" s="3"/>
      <c r="G73" s="3"/>
      <c r="H73" s="3"/>
      <c r="I73" s="3"/>
      <c r="J73" s="14"/>
      <c r="K73" s="14"/>
      <c r="L73" s="16"/>
      <c r="M73" s="14"/>
      <c r="N73" s="16"/>
      <c r="O73" s="14"/>
      <c r="P73" s="14"/>
      <c r="Q73" s="14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14"/>
      <c r="K74" s="14"/>
      <c r="L74" s="16"/>
      <c r="M74" s="14"/>
      <c r="N74" s="14"/>
      <c r="O74" s="14"/>
      <c r="P74" s="14"/>
      <c r="Q74" s="14"/>
      <c r="R74" s="3"/>
      <c r="S74" s="3"/>
      <c r="T74" s="3"/>
      <c r="U74" s="3"/>
      <c r="V74" s="3"/>
      <c r="W74" s="3"/>
      <c r="X74" s="3"/>
      <c r="Y74" s="3"/>
      <c r="Z74" s="3"/>
    </row>
    <row r="75">
      <c r="A75" s="9" t="s">
        <v>29</v>
      </c>
      <c r="B75" s="9" t="s">
        <v>30</v>
      </c>
      <c r="C75" s="9" t="s">
        <v>31</v>
      </c>
      <c r="D75" s="3"/>
      <c r="E75" s="3"/>
      <c r="F75" s="3"/>
      <c r="G75" s="3"/>
      <c r="H75" s="3"/>
      <c r="I75" s="3"/>
      <c r="J75" s="14"/>
      <c r="K75" s="14"/>
      <c r="L75" s="14"/>
      <c r="M75" s="14"/>
      <c r="N75" s="14"/>
      <c r="O75" s="14"/>
      <c r="P75" s="14"/>
      <c r="Q75" s="14"/>
      <c r="R75" s="3"/>
      <c r="S75" s="3"/>
      <c r="T75" s="3"/>
      <c r="U75" s="3"/>
      <c r="V75" s="3"/>
      <c r="W75" s="3"/>
      <c r="X75" s="3"/>
      <c r="Y75" s="3"/>
      <c r="Z75" s="3"/>
    </row>
    <row r="76">
      <c r="A76" s="11">
        <v>1.0</v>
      </c>
      <c r="B76" s="11">
        <v>179594.77038912737</v>
      </c>
      <c r="C76" s="11">
        <v>-72584.77038912737</v>
      </c>
      <c r="D76" s="3"/>
      <c r="E76" s="3"/>
      <c r="F76" s="3"/>
      <c r="G76" s="3"/>
      <c r="H76" s="3"/>
      <c r="I76" s="3"/>
      <c r="J76" s="14"/>
      <c r="K76" s="14"/>
      <c r="L76" s="14"/>
      <c r="M76" s="14"/>
      <c r="N76" s="14"/>
      <c r="O76" s="14"/>
      <c r="P76" s="14"/>
      <c r="Q76" s="14"/>
      <c r="R76" s="3"/>
      <c r="S76" s="3"/>
      <c r="T76" s="3"/>
      <c r="U76" s="3"/>
      <c r="V76" s="3"/>
      <c r="W76" s="3"/>
      <c r="X76" s="3"/>
      <c r="Y76" s="3"/>
      <c r="Z76" s="3"/>
    </row>
    <row r="77">
      <c r="A77" s="11">
        <v>2.0</v>
      </c>
      <c r="B77" s="11">
        <v>212997.91458871795</v>
      </c>
      <c r="C77" s="11">
        <v>22002.085411282053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1">
        <v>3.0</v>
      </c>
      <c r="B78" s="11">
        <v>163650.62406398577</v>
      </c>
      <c r="C78" s="11">
        <v>5349.3759360142285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1">
        <v>4.0</v>
      </c>
      <c r="B79" s="11">
        <v>75038.7451139529</v>
      </c>
      <c r="C79" s="11">
        <v>-1038.7451139529003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1">
        <v>5.0</v>
      </c>
      <c r="B80" s="11">
        <v>115588.8568774683</v>
      </c>
      <c r="C80" s="11">
        <v>-7588.8568774682935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1">
        <v>6.0</v>
      </c>
      <c r="B81" s="11">
        <v>333726.3051952497</v>
      </c>
      <c r="C81" s="11">
        <v>164273.69480475032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1">
        <v>7.0</v>
      </c>
      <c r="B82" s="11">
        <v>95960.06088891967</v>
      </c>
      <c r="C82" s="11">
        <v>3939.9391110803263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1">
        <v>8.0</v>
      </c>
      <c r="B83" s="11">
        <v>143101.80740856455</v>
      </c>
      <c r="C83" s="11">
        <v>733313.1925914355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1">
        <v>9.0</v>
      </c>
      <c r="B84" s="11">
        <v>121182.9469234981</v>
      </c>
      <c r="C84" s="11">
        <v>-182.94692349809338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1">
        <v>10.0</v>
      </c>
      <c r="B85" s="11">
        <v>342909.8744619508</v>
      </c>
      <c r="C85" s="11">
        <v>-22909.874461950792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1">
        <v>11.0</v>
      </c>
      <c r="B86" s="11">
        <v>142469.30378808227</v>
      </c>
      <c r="C86" s="11">
        <v>-44569.30378808227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1">
        <v>12.0</v>
      </c>
      <c r="B87" s="11">
        <v>176157.03049259432</v>
      </c>
      <c r="C87" s="11">
        <v>-41157.03049259432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1">
        <v>13.0</v>
      </c>
      <c r="B88" s="11">
        <v>111105.36076258548</v>
      </c>
      <c r="C88" s="11">
        <v>1794.6392374145216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1">
        <v>14.0</v>
      </c>
      <c r="B89" s="11">
        <v>250538.2819185122</v>
      </c>
      <c r="C89" s="11">
        <v>-15538.281918512192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1">
        <v>15.0</v>
      </c>
      <c r="B90" s="11">
        <v>140107.0788961299</v>
      </c>
      <c r="C90" s="11">
        <v>77892.92110387009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1">
        <v>16.0</v>
      </c>
      <c r="B91" s="11">
        <v>89906.3940871733</v>
      </c>
      <c r="C91" s="11">
        <v>-26906.394087173307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1">
        <v>17.0</v>
      </c>
      <c r="B92" s="11">
        <v>139278.1232578011</v>
      </c>
      <c r="C92" s="11">
        <v>-55278.12325780111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1">
        <v>18.0</v>
      </c>
      <c r="B93" s="11">
        <v>227556.75628357218</v>
      </c>
      <c r="C93" s="11">
        <v>-38556.75628357218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1">
        <v>19.0</v>
      </c>
      <c r="B94" s="11">
        <v>179271.2569125576</v>
      </c>
      <c r="C94" s="11">
        <v>-50271.25691255761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1">
        <v>20.0</v>
      </c>
      <c r="B95" s="11">
        <v>162348.43950352102</v>
      </c>
      <c r="C95" s="11">
        <v>-57448.43950352102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1">
        <v>21.0</v>
      </c>
      <c r="B96" s="11">
        <v>255786.44655056673</v>
      </c>
      <c r="C96" s="11">
        <v>29113.553449433268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1">
        <v>22.0</v>
      </c>
      <c r="B97" s="11">
        <v>178957.33369567263</v>
      </c>
      <c r="C97" s="11">
        <v>-46257.33369567263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1">
        <v>23.0</v>
      </c>
      <c r="B98" s="11">
        <v>200908.16254100658</v>
      </c>
      <c r="C98" s="11">
        <v>-56008.162541006575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1">
        <v>24.0</v>
      </c>
      <c r="B99" s="11">
        <v>150526.0388055719</v>
      </c>
      <c r="C99" s="11">
        <v>-33026.03880557191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1">
        <v>25.0</v>
      </c>
      <c r="B100" s="11">
        <v>71679.99169606407</v>
      </c>
      <c r="C100" s="11">
        <v>15820.00830393593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>
        <v>26.0</v>
      </c>
      <c r="B101" s="11">
        <v>83806.09340449501</v>
      </c>
      <c r="C101" s="11">
        <v>-18806.09340449501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>
        <v>27.0</v>
      </c>
      <c r="B102" s="11">
        <v>46952.74369110893</v>
      </c>
      <c r="C102" s="11">
        <v>16747.25630889107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>
        <v>28.0</v>
      </c>
      <c r="B103" s="11">
        <v>127664.88790423464</v>
      </c>
      <c r="C103" s="11">
        <v>-40164.88790423464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>
        <v>29.0</v>
      </c>
      <c r="B104" s="11">
        <v>139158.10175473854</v>
      </c>
      <c r="C104" s="11">
        <v>-61258.10175473854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>
        <v>30.0</v>
      </c>
      <c r="B105" s="11">
        <v>241015.78368603933</v>
      </c>
      <c r="C105" s="11">
        <v>-51015.78368603933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>
        <v>31.0</v>
      </c>
      <c r="B106" s="11">
        <v>160812.51442460695</v>
      </c>
      <c r="C106" s="11">
        <v>-73812.51442460695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>
        <v>32.0</v>
      </c>
      <c r="B107" s="11">
        <v>162370.08013611886</v>
      </c>
      <c r="C107" s="11">
        <v>-53370.080136118864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>
        <v>33.0</v>
      </c>
      <c r="B108" s="11">
        <v>170279.89772134012</v>
      </c>
      <c r="C108" s="11">
        <v>-40279.89772134012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1">
        <v>34.0</v>
      </c>
      <c r="B109" s="11">
        <v>92207.6293006121</v>
      </c>
      <c r="C109" s="11">
        <v>11792.370699387902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1">
        <v>35.0</v>
      </c>
      <c r="B110" s="11">
        <v>142395.63744977335</v>
      </c>
      <c r="C110" s="11">
        <v>-7395.637449773349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1">
        <v>36.0</v>
      </c>
      <c r="B111" s="11">
        <v>181728.64941732754</v>
      </c>
      <c r="C111" s="11">
        <v>-88728.64941732754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1">
        <v>37.0</v>
      </c>
      <c r="B112" s="11">
        <v>147923.83575122175</v>
      </c>
      <c r="C112" s="11">
        <v>-35923.83575122175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>
        <v>38.0</v>
      </c>
      <c r="B113" s="13">
        <v>41048.16038821034</v>
      </c>
      <c r="C113" s="13">
        <v>16951.839611789663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1">
        <v>39.0</v>
      </c>
      <c r="B114" s="11">
        <v>69955.69608619576</v>
      </c>
      <c r="C114" s="11">
        <v>-5055.696086195763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1">
        <v>40.0</v>
      </c>
      <c r="B115" s="11">
        <v>168950.262629231</v>
      </c>
      <c r="C115" s="11">
        <v>-53950.262629231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>
        <v>41.0</v>
      </c>
      <c r="B116" s="13">
        <v>100907.12115189183</v>
      </c>
      <c r="C116" s="13">
        <v>92.87884810817195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 t="s">
        <v>133</v>
      </c>
      <c r="B119" s="3">
        <f>CORREL(B1:B42,C1:C42)</f>
        <v>0.1225401069</v>
      </c>
      <c r="C119" s="3"/>
      <c r="D119" s="5" t="s">
        <v>134</v>
      </c>
      <c r="E119" s="3">
        <f>(B119-B121*B120)/(SQRT(1-B121^2)*SQRT(1-B120^2))</f>
        <v>0.001765908875</v>
      </c>
      <c r="F119" s="89" t="s">
        <v>135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6" t="s">
        <v>136</v>
      </c>
      <c r="B120" s="3">
        <f>CORREL(C1:C42,D1:D42)</f>
        <v>-0.3979871429</v>
      </c>
      <c r="C120" s="3"/>
      <c r="D120" s="26" t="s">
        <v>137</v>
      </c>
      <c r="E120" s="3">
        <f>(B121-B119*B120)/(SQRT(1-B119^2)*SQRT(1-B120^2))</f>
        <v>-0.2803501478</v>
      </c>
      <c r="F120" s="89" t="s">
        <v>135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6" t="s">
        <v>138</v>
      </c>
      <c r="B121" s="3">
        <f>CORREL(B1:B42,D1:D42)</f>
        <v>-0.3040217858</v>
      </c>
      <c r="C121" s="3"/>
      <c r="D121" s="26" t="s">
        <v>139</v>
      </c>
      <c r="E121" s="3">
        <f>(B120-B119*B121)/(SQRT(1-B119^2)*SQRT(1-B121^2))</f>
        <v>-0.3815313161</v>
      </c>
      <c r="F121" s="89" t="s">
        <v>135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98"/>
      <c r="B122" s="98"/>
      <c r="C122" s="98"/>
      <c r="D122" s="98"/>
      <c r="E122" s="98"/>
      <c r="F122" s="99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1"/>
      <c r="B123" s="100"/>
      <c r="C123" s="73"/>
      <c r="D123" s="73"/>
      <c r="E123" s="100"/>
      <c r="F123" s="11"/>
      <c r="G123" s="1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8" t="s">
        <v>140</v>
      </c>
      <c r="B124" s="66"/>
      <c r="C124" s="66"/>
      <c r="D124" s="29"/>
      <c r="F124" s="28" t="s">
        <v>141</v>
      </c>
      <c r="G124" s="66"/>
      <c r="H124" s="66"/>
      <c r="I124" s="29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90"/>
      <c r="B125" s="91">
        <v>1.0</v>
      </c>
      <c r="C125" s="91">
        <v>2.0</v>
      </c>
      <c r="D125" s="91">
        <v>3.0</v>
      </c>
      <c r="F125" s="90"/>
      <c r="G125" s="91">
        <v>1.0</v>
      </c>
      <c r="H125" s="91">
        <v>2.0</v>
      </c>
      <c r="I125" s="91">
        <v>3.0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91">
        <v>1.0</v>
      </c>
      <c r="B126" s="30">
        <v>1.0</v>
      </c>
      <c r="C126" s="30">
        <f>CORREL(B1:B42,C1:C42)</f>
        <v>0.1225401069</v>
      </c>
      <c r="D126" s="30">
        <f>CORREL(B1:B42,D1:D42)</f>
        <v>-0.3040217858</v>
      </c>
      <c r="F126" s="91">
        <v>1.0</v>
      </c>
      <c r="G126" s="30">
        <f t="array" ref="G126:I128">MMULT(TRANSPOSE(B126:D128),B126:D128)</f>
        <v>1.107445324</v>
      </c>
      <c r="H126" s="30">
        <v>0.3660769756392597</v>
      </c>
      <c r="I126" s="30">
        <v>-0.6568129585863208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91">
        <v>2.0</v>
      </c>
      <c r="B127" s="30">
        <f>CORREL(B1:B42,C1:C42)</f>
        <v>0.1225401069</v>
      </c>
      <c r="C127" s="30">
        <v>1.0</v>
      </c>
      <c r="D127" s="30">
        <f>CORREL(C1:C42,D1:D42)</f>
        <v>-0.3979871429</v>
      </c>
      <c r="F127" s="91">
        <v>2.0</v>
      </c>
      <c r="G127" s="30">
        <v>0.3660769756392597</v>
      </c>
      <c r="H127" s="30">
        <v>1.173409843720183</v>
      </c>
      <c r="I127" s="30">
        <v>-0.8332291479589267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91">
        <v>3.0</v>
      </c>
      <c r="B128" s="30">
        <f>CORREL(B1:B42,D1:D42)</f>
        <v>-0.3040217858</v>
      </c>
      <c r="C128" s="30">
        <f>CORREL(C1:C42,D1:D42)</f>
        <v>-0.3979871429</v>
      </c>
      <c r="D128" s="30">
        <v>1.0</v>
      </c>
      <c r="F128" s="91">
        <v>3.0</v>
      </c>
      <c r="G128" s="30">
        <v>-0.6568129585863208</v>
      </c>
      <c r="H128" s="30">
        <v>-0.8332291479589267</v>
      </c>
      <c r="I128" s="30">
        <v>1.2508230121590072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J129" s="3"/>
      <c r="K129" s="3"/>
      <c r="L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8" t="s">
        <v>142</v>
      </c>
      <c r="B130" s="66"/>
      <c r="C130" s="66"/>
      <c r="D130" s="29"/>
      <c r="F130" s="28" t="s">
        <v>143</v>
      </c>
      <c r="G130" s="66"/>
      <c r="H130" s="66"/>
      <c r="I130" s="29"/>
      <c r="J130" s="3"/>
      <c r="K130" s="5" t="s">
        <v>149</v>
      </c>
      <c r="L130" s="5">
        <v>10.0</v>
      </c>
      <c r="M130" s="5" t="s">
        <v>150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90"/>
      <c r="B131" s="91">
        <v>1.0</v>
      </c>
      <c r="C131" s="91">
        <v>2.0</v>
      </c>
      <c r="D131" s="91">
        <v>3.0</v>
      </c>
      <c r="F131" s="90"/>
      <c r="G131" s="91">
        <v>1.0</v>
      </c>
      <c r="H131" s="91">
        <v>2.0</v>
      </c>
      <c r="I131" s="91">
        <v>3.0</v>
      </c>
      <c r="J131" s="3"/>
      <c r="K131" s="5" t="s">
        <v>151</v>
      </c>
      <c r="L131" s="3">
        <f>B132</f>
        <v>1.101845905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91">
        <v>1.0</v>
      </c>
      <c r="B132" s="30">
        <f t="array" ref="B132:D134">MINVERSE(B126:D128)</f>
        <v>1.101845905</v>
      </c>
      <c r="C132" s="30">
        <v>-0.002020574767569394</v>
      </c>
      <c r="D132" s="30">
        <v>0.3341809968825322</v>
      </c>
      <c r="F132" s="91">
        <v>1.0</v>
      </c>
      <c r="G132" s="30">
        <f t="array" ref="G132:I134">MINVERSE(G126:I128)</f>
        <v>1.32574542</v>
      </c>
      <c r="H132" s="30">
        <v>0.153198821102679</v>
      </c>
      <c r="I132" s="30">
        <v>0.7982076479288727</v>
      </c>
      <c r="J132" s="3"/>
      <c r="K132" s="5" t="s">
        <v>152</v>
      </c>
      <c r="L132" s="3">
        <f>C133</f>
        <v>1.188207832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91">
        <v>2.0</v>
      </c>
      <c r="B133" s="30">
        <v>-0.0020205747675693967</v>
      </c>
      <c r="C133" s="30">
        <v>1.188207831597662</v>
      </c>
      <c r="D133" s="30">
        <v>0.47227714134352794</v>
      </c>
      <c r="F133" s="91">
        <v>2.0</v>
      </c>
      <c r="G133" s="30">
        <v>0.15319882110267907</v>
      </c>
      <c r="H133" s="30">
        <v>1.6348876320280237</v>
      </c>
      <c r="I133" s="30">
        <v>1.1695171781806992</v>
      </c>
      <c r="J133" s="3"/>
      <c r="K133" s="5" t="s">
        <v>153</v>
      </c>
      <c r="L133" s="3">
        <f>D134</f>
        <v>1.289558534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91">
        <v>3.0</v>
      </c>
      <c r="B134" s="30">
        <v>0.3341809968825322</v>
      </c>
      <c r="C134" s="30">
        <v>0.472277141343528</v>
      </c>
      <c r="D134" s="30">
        <v>1.2895585335959892</v>
      </c>
      <c r="F134" s="91">
        <v>3.0</v>
      </c>
      <c r="G134" s="30">
        <v>0.7982076479288726</v>
      </c>
      <c r="H134" s="30">
        <v>1.169517178180699</v>
      </c>
      <c r="I134" s="30">
        <v>1.9976838484832553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F135" s="26" t="s">
        <v>144</v>
      </c>
      <c r="G135" s="26">
        <v>0.409</v>
      </c>
      <c r="H135" s="26">
        <v>1.285</v>
      </c>
      <c r="I135" s="26">
        <v>3.265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92" t="s">
        <v>145</v>
      </c>
      <c r="B136" s="66"/>
      <c r="C136" s="66"/>
      <c r="D136" s="29"/>
      <c r="F136" s="26" t="s">
        <v>146</v>
      </c>
      <c r="G136" s="25">
        <f t="array" ref="G136">MAX(G135:I135) / MIN(G135:I135)</f>
        <v>7.982885086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93"/>
      <c r="B137" s="94">
        <v>1.0</v>
      </c>
      <c r="C137" s="94">
        <v>2.0</v>
      </c>
      <c r="D137" s="94">
        <v>3.0</v>
      </c>
      <c r="E137" s="31"/>
      <c r="F137" s="95" t="s">
        <v>147</v>
      </c>
      <c r="G137" s="3">
        <f>SQRT(G136)</f>
        <v>2.825399987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94">
        <v>1.0</v>
      </c>
      <c r="B138" s="96">
        <f>(-B132)/(SQRT(B132*B132))</f>
        <v>-1</v>
      </c>
      <c r="C138" s="96">
        <f>(-B133)/(SQRT(C133*B132))</f>
        <v>0.001765908875</v>
      </c>
      <c r="D138" s="96">
        <f>(-B134)/SQRT(B132*D134)</f>
        <v>-0.2803501478</v>
      </c>
      <c r="E138" s="32"/>
      <c r="F138" s="1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94">
        <v>2.0</v>
      </c>
      <c r="B139" s="96">
        <f>(-B133)/(SQRT(C133*B132))</f>
        <v>0.001765908875</v>
      </c>
      <c r="C139" s="96">
        <v>-1.0</v>
      </c>
      <c r="D139" s="96">
        <f>(-C134)/SQRT(D134*C133)</f>
        <v>-0.3815313161</v>
      </c>
      <c r="E139" s="32"/>
      <c r="F139" s="97" t="s">
        <v>148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94">
        <v>3.0</v>
      </c>
      <c r="B140" s="96">
        <f>(-B134)/SQRT(B132*D134)</f>
        <v>-0.2803501478</v>
      </c>
      <c r="C140" s="96">
        <f>(-C134)/SQRT(D134*C133)</f>
        <v>-0.3815313161</v>
      </c>
      <c r="D140" s="96">
        <v>-1.0</v>
      </c>
      <c r="E140" s="32"/>
      <c r="F140" s="1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/>
      <c r="B141" s="73"/>
      <c r="C141" s="73"/>
      <c r="D141" s="73"/>
      <c r="E141" s="73"/>
      <c r="F141" s="11"/>
      <c r="G141" s="1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/>
      <c r="B142" s="73"/>
      <c r="C142" s="73"/>
      <c r="D142" s="73"/>
      <c r="E142" s="73"/>
      <c r="F142" s="11"/>
      <c r="G142" s="1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1"/>
      <c r="B143" s="73"/>
      <c r="C143" s="73"/>
      <c r="D143" s="73"/>
      <c r="E143" s="73"/>
      <c r="F143" s="11"/>
      <c r="G143" s="1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1"/>
      <c r="B144" s="73"/>
      <c r="C144" s="73"/>
      <c r="D144" s="73"/>
      <c r="E144" s="73"/>
      <c r="F144" s="11"/>
      <c r="G144" s="1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1"/>
      <c r="B145" s="73"/>
      <c r="C145" s="73"/>
      <c r="D145" s="73"/>
      <c r="E145" s="73"/>
      <c r="F145" s="11"/>
      <c r="G145" s="1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1"/>
      <c r="B146" s="73"/>
      <c r="C146" s="73"/>
      <c r="D146" s="73"/>
      <c r="E146" s="73"/>
      <c r="F146" s="11"/>
      <c r="G146" s="1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1"/>
      <c r="B147" s="73"/>
      <c r="C147" s="73"/>
      <c r="D147" s="73"/>
      <c r="E147" s="73"/>
      <c r="F147" s="11"/>
      <c r="G147" s="1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1"/>
      <c r="B148" s="73"/>
      <c r="C148" s="73"/>
      <c r="D148" s="73"/>
      <c r="E148" s="73"/>
      <c r="F148" s="11"/>
      <c r="G148" s="1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1"/>
      <c r="B149" s="73"/>
      <c r="C149" s="73"/>
      <c r="D149" s="73"/>
      <c r="E149" s="73"/>
      <c r="F149" s="11"/>
      <c r="G149" s="1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1"/>
      <c r="B150" s="73"/>
      <c r="C150" s="73"/>
      <c r="D150" s="73"/>
      <c r="E150" s="73"/>
      <c r="F150" s="11"/>
      <c r="G150" s="1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1"/>
      <c r="B151" s="73"/>
      <c r="C151" s="73"/>
      <c r="D151" s="73"/>
      <c r="E151" s="73"/>
      <c r="F151" s="11"/>
      <c r="G151" s="1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1"/>
      <c r="B152" s="73"/>
      <c r="C152" s="73"/>
      <c r="D152" s="73"/>
      <c r="E152" s="73"/>
      <c r="F152" s="11"/>
      <c r="G152" s="1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1"/>
      <c r="B153" s="73"/>
      <c r="C153" s="73"/>
      <c r="D153" s="73"/>
      <c r="E153" s="73"/>
      <c r="F153" s="11"/>
      <c r="G153" s="1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1"/>
      <c r="B154" s="73"/>
      <c r="C154" s="73"/>
      <c r="D154" s="73"/>
      <c r="E154" s="73"/>
      <c r="F154" s="11"/>
      <c r="G154" s="1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1"/>
      <c r="B155" s="73"/>
      <c r="C155" s="73"/>
      <c r="D155" s="73"/>
      <c r="E155" s="73"/>
      <c r="F155" s="11"/>
      <c r="G155" s="1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1"/>
      <c r="B156" s="73"/>
      <c r="C156" s="73"/>
      <c r="D156" s="73"/>
      <c r="E156" s="73"/>
      <c r="F156" s="11"/>
      <c r="G156" s="1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1"/>
      <c r="B157" s="73"/>
      <c r="C157" s="73"/>
      <c r="D157" s="73"/>
      <c r="E157" s="73"/>
      <c r="F157" s="11"/>
      <c r="G157" s="1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/>
      <c r="B158" s="73"/>
      <c r="C158" s="73"/>
      <c r="D158" s="73"/>
      <c r="E158" s="73"/>
      <c r="F158" s="11"/>
      <c r="G158" s="1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/>
      <c r="B159" s="73"/>
      <c r="C159" s="73"/>
      <c r="D159" s="73"/>
      <c r="E159" s="73"/>
      <c r="F159" s="11"/>
      <c r="G159" s="1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/>
      <c r="B160" s="73"/>
      <c r="C160" s="73"/>
      <c r="D160" s="73"/>
      <c r="E160" s="73"/>
      <c r="F160" s="11"/>
      <c r="G160" s="1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/>
      <c r="B161" s="73"/>
      <c r="C161" s="73"/>
      <c r="D161" s="73"/>
      <c r="E161" s="73"/>
      <c r="F161" s="11"/>
      <c r="G161" s="1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/>
      <c r="B162" s="73"/>
      <c r="C162" s="73"/>
      <c r="D162" s="73"/>
      <c r="E162" s="73"/>
      <c r="F162" s="11"/>
      <c r="G162" s="1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/>
      <c r="B163" s="73"/>
      <c r="C163" s="73"/>
      <c r="D163" s="73"/>
      <c r="E163" s="73"/>
      <c r="F163" s="11"/>
      <c r="G163" s="1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1">
    <mergeCell ref="A130:D130"/>
    <mergeCell ref="F130:I130"/>
    <mergeCell ref="A136:D136"/>
    <mergeCell ref="F139:I139"/>
    <mergeCell ref="K55:M55"/>
    <mergeCell ref="K60:L60"/>
    <mergeCell ref="F119:G119"/>
    <mergeCell ref="F120:G120"/>
    <mergeCell ref="F121:G121"/>
    <mergeCell ref="A124:D124"/>
    <mergeCell ref="F124:I124"/>
  </mergeCells>
  <drawing r:id="rId1"/>
</worksheet>
</file>