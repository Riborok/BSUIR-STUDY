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<sst xmlns="http://schemas.openxmlformats.org/spreadsheetml/2006/main" count="74" uniqueCount="49">
  <si>
    <t>квадр. откл</t>
  </si>
  <si>
    <t>Для эксп. распр. λ=1/x</t>
  </si>
  <si>
    <t>λ</t>
  </si>
  <si>
    <t>N</t>
  </si>
  <si>
    <t>Интервал</t>
  </si>
  <si>
    <t>F</t>
  </si>
  <si>
    <t>p</t>
  </si>
  <si>
    <t>E</t>
  </si>
  <si>
    <t>О</t>
  </si>
  <si>
    <t>χ²набл</t>
  </si>
  <si>
    <t>k = 4 - 1 - 1 = 2</t>
  </si>
  <si>
    <t>α = 0,05</t>
  </si>
  <si>
    <t>χ²кр из таблицы</t>
  </si>
  <si>
    <t>https://math.semestr.ru/group/xixi.php</t>
  </si>
  <si>
    <t>-&gt; не отвергаем</t>
  </si>
  <si>
    <t xml:space="preserve">мода = </t>
  </si>
  <si>
    <t>()</t>
  </si>
  <si>
    <t>медиана =</t>
  </si>
  <si>
    <t xml:space="preserve">среднее = </t>
  </si>
  <si>
    <t>Интервалы</t>
  </si>
  <si>
    <t>Частота</t>
  </si>
  <si>
    <t>вероятность</t>
  </si>
  <si>
    <t xml:space="preserve">дисперсия = </t>
  </si>
  <si>
    <t>коэфф. вариации</t>
  </si>
  <si>
    <t>-неоднородная выборка</t>
  </si>
  <si>
    <t>макс\мин</t>
  </si>
  <si>
    <t>Середина интервала</t>
  </si>
  <si>
    <t>шаг</t>
  </si>
  <si>
    <t>[788; 3928,83)</t>
  </si>
  <si>
    <t>[3928,83; 7069,66)</t>
  </si>
  <si>
    <t>[7069,66; 10210,5)</t>
  </si>
  <si>
    <t>[10210,5; 13351,33333)</t>
  </si>
  <si>
    <t>[13351,3; 16492,16667)</t>
  </si>
  <si>
    <t>[16492,16; 19633)</t>
  </si>
  <si>
    <t>Предположение: экспоненциальное распределение</t>
  </si>
  <si>
    <t>https://mathprofi.ru/dispersii.html</t>
  </si>
  <si>
    <t>4 Задание</t>
  </si>
  <si>
    <t>Среднее</t>
  </si>
  <si>
    <t>Групповые средние</t>
  </si>
  <si>
    <t>Групповые дисперсии</t>
  </si>
  <si>
    <t>Внутригрупповая дисперсия</t>
  </si>
  <si>
    <t>Межгрупповая дисперсия</t>
  </si>
  <si>
    <t>Итоговая:</t>
  </si>
  <si>
    <t>Доля межгрупповой дисперсии:</t>
  </si>
  <si>
    <t>Правило сложения дисперсий</t>
  </si>
  <si>
    <t>Разбиение на s-1 интервалов (5)</t>
  </si>
  <si>
    <t>Доля межгрупповой дисперсии</t>
  </si>
  <si>
    <t>Разбиение на s+1 интервалов (7)</t>
  </si>
  <si>
    <t>- разбиение на 7 интервалов лучше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</si>
</sst>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/>
    <font>
      <color rgb="FF000000"/>
      <name val="Arial"/>
      <scheme val="minor"/>
    </font>
    <font>
      <sz val="16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0000"/>
        <bgColor rgb="FF990000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2" fontId="1" numFmtId="0" xfId="0" applyFill="1" applyFont="1"/>
    <xf borderId="0" fillId="3" fontId="1" numFmtId="0" xfId="0" applyFill="1" applyFont="1"/>
    <xf borderId="2" fillId="0" fontId="1" numFmtId="0" xfId="0" applyAlignment="1" applyBorder="1" applyFont="1">
      <alignment horizontal="center" readingOrder="0"/>
    </xf>
    <xf borderId="3" fillId="0" fontId="3" numFmtId="0" xfId="0" applyBorder="1" applyFont="1"/>
    <xf borderId="0" fillId="2" fontId="4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0" fontId="5" numFmtId="0" xfId="0" applyAlignment="1" applyFont="1">
      <alignment readingOrder="0"/>
    </xf>
    <xf borderId="1" fillId="2" fontId="1" numFmtId="0" xfId="0" applyBorder="1" applyFont="1"/>
    <xf borderId="0" fillId="2" fontId="1" numFmtId="0" xfId="0" applyAlignment="1" applyFont="1">
      <alignment readingOrder="0"/>
    </xf>
    <xf borderId="1" fillId="2" fontId="1" numFmtId="0" xfId="0" applyAlignment="1" applyBorder="1" applyFont="1">
      <alignment readingOrder="0"/>
    </xf>
    <xf borderId="0" fillId="5" fontId="1" numFmtId="0" xfId="0" applyAlignment="1" applyFill="1" applyFont="1">
      <alignment readingOrder="0"/>
    </xf>
    <xf borderId="0" fillId="5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Частота относительно параметра "Интервал"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'Лист1'!$B$49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'Лист1'!$A$50:$A$55</c:f>
            </c:strRef>
          </c:cat>
          <c:val>
            <c:numRef>
              <c:f>'Лист1'!$B$50:$B$55</c:f>
              <c:numCache/>
            </c:numRef>
          </c:val>
        </c:ser>
        <c:axId val="1676908700"/>
        <c:axId val="354483309"/>
      </c:barChart>
      <c:catAx>
        <c:axId val="16769087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Интервал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4483309"/>
      </c:catAx>
      <c:valAx>
        <c:axId val="3544833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Частота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69087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Середина интервала относительно параметра "Частота"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'Лист1'!$C$49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'Лист1'!$B$50:$B$55</c:f>
            </c:strRef>
          </c:cat>
          <c:val>
            <c:numRef>
              <c:f>'Лист1'!$C$50:$C$55</c:f>
              <c:numCache/>
            </c:numRef>
          </c:val>
          <c:smooth val="0"/>
        </c:ser>
        <c:axId val="1354465124"/>
        <c:axId val="1929612508"/>
      </c:lineChart>
      <c:catAx>
        <c:axId val="1354465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Частота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9612508"/>
      </c:catAx>
      <c:valAx>
        <c:axId val="19296125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Середина интервала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44651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56</xdr:row>
      <xdr:rowOff>19050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114300</xdr:colOff>
      <xdr:row>56</xdr:row>
      <xdr:rowOff>19050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th.semestr.ru/group/xixi.php" TargetMode="External"/><Relationship Id="rId2" Type="http://schemas.openxmlformats.org/officeDocument/2006/relationships/hyperlink" Target="https://mathprofi.ru/dispersii.html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>
        <v>1097.0</v>
      </c>
      <c r="D1" s="1">
        <v>8522.0</v>
      </c>
      <c r="F1" s="1">
        <v>788.0</v>
      </c>
      <c r="J1" s="2">
        <f t="shared" ref="J1:J35" si="1">(F1-$H$36)^2</f>
        <v>620944</v>
      </c>
    </row>
    <row r="2">
      <c r="A2" s="1">
        <v>2.0</v>
      </c>
      <c r="B2" s="1">
        <v>8522.0</v>
      </c>
      <c r="D2" s="1">
        <v>3724.0</v>
      </c>
      <c r="F2" s="1">
        <v>1097.0</v>
      </c>
      <c r="J2" s="2">
        <f t="shared" si="1"/>
        <v>1203409</v>
      </c>
    </row>
    <row r="3">
      <c r="A3" s="1">
        <v>3.0</v>
      </c>
      <c r="B3" s="1">
        <v>788.0</v>
      </c>
      <c r="D3" s="1">
        <v>5055.0</v>
      </c>
      <c r="F3" s="1">
        <v>1343.0</v>
      </c>
      <c r="J3" s="2">
        <f t="shared" si="1"/>
        <v>1803649</v>
      </c>
      <c r="R3" s="1" t="s">
        <v>0</v>
      </c>
      <c r="S3" s="2">
        <f t="shared" ref="S3:S42" si="2">(B1-$B$44)^2</f>
        <v>36858558.77</v>
      </c>
    </row>
    <row r="4">
      <c r="A4" s="1">
        <v>4.0</v>
      </c>
      <c r="B4" s="1">
        <v>3724.0</v>
      </c>
      <c r="D4" s="1">
        <v>9194.0</v>
      </c>
      <c r="F4" s="1">
        <v>1576.0</v>
      </c>
      <c r="J4" s="2">
        <f t="shared" si="1"/>
        <v>2483776</v>
      </c>
      <c r="L4" s="1" t="s">
        <v>1</v>
      </c>
      <c r="S4" s="2">
        <f t="shared" si="2"/>
        <v>1832977.516</v>
      </c>
    </row>
    <row r="5">
      <c r="A5" s="1">
        <v>5.0</v>
      </c>
      <c r="B5" s="1">
        <v>5055.0</v>
      </c>
      <c r="D5" s="1">
        <v>4638.0</v>
      </c>
      <c r="F5" s="1">
        <v>2189.0</v>
      </c>
      <c r="J5" s="2">
        <f t="shared" si="1"/>
        <v>4791721</v>
      </c>
      <c r="L5" s="1" t="s">
        <v>2</v>
      </c>
      <c r="M5" s="1" t="s">
        <v>3</v>
      </c>
      <c r="S5" s="2">
        <f t="shared" si="2"/>
        <v>40705995.02</v>
      </c>
    </row>
    <row r="6">
      <c r="A6" s="1">
        <v>6.0</v>
      </c>
      <c r="B6" s="1">
        <v>9194.0</v>
      </c>
      <c r="D6" s="1">
        <v>11526.0</v>
      </c>
      <c r="F6" s="1">
        <v>2345.0</v>
      </c>
      <c r="J6" s="2">
        <f t="shared" si="1"/>
        <v>5499025</v>
      </c>
      <c r="L6" s="2">
        <f>1/B44</f>
        <v>0.0001395064958</v>
      </c>
      <c r="M6" s="1">
        <v>40.0</v>
      </c>
      <c r="S6" s="2">
        <f t="shared" si="2"/>
        <v>11861997.02</v>
      </c>
    </row>
    <row r="7">
      <c r="A7" s="1">
        <v>7.0</v>
      </c>
      <c r="B7" s="1">
        <v>4638.0</v>
      </c>
      <c r="D7" s="1">
        <v>8898.0</v>
      </c>
      <c r="F7" s="1">
        <v>2351.0</v>
      </c>
      <c r="J7" s="2">
        <f t="shared" si="1"/>
        <v>5527201</v>
      </c>
      <c r="S7" s="2">
        <f t="shared" si="2"/>
        <v>4465297.266</v>
      </c>
    </row>
    <row r="8">
      <c r="A8" s="1">
        <v>8.0</v>
      </c>
      <c r="B8" s="1">
        <v>1576.0</v>
      </c>
      <c r="D8" s="1">
        <v>6589.0</v>
      </c>
      <c r="F8" s="1">
        <v>3190.0</v>
      </c>
      <c r="J8" s="2">
        <f t="shared" si="1"/>
        <v>10176100</v>
      </c>
      <c r="S8" s="2">
        <f t="shared" si="2"/>
        <v>4104169.516</v>
      </c>
    </row>
    <row r="9">
      <c r="A9" s="1">
        <v>9.0</v>
      </c>
      <c r="B9" s="1">
        <v>11526.0</v>
      </c>
      <c r="D9" s="1">
        <v>4760.0</v>
      </c>
      <c r="F9" s="1">
        <v>3372.0</v>
      </c>
      <c r="J9" s="2">
        <f t="shared" si="1"/>
        <v>11370384</v>
      </c>
      <c r="S9" s="2">
        <f t="shared" si="2"/>
        <v>6401532.516</v>
      </c>
    </row>
    <row r="10">
      <c r="A10" s="1">
        <v>10.0</v>
      </c>
      <c r="B10" s="1">
        <v>8898.0</v>
      </c>
      <c r="D10" s="1">
        <v>9197.0</v>
      </c>
      <c r="F10" s="1">
        <v>3541.0</v>
      </c>
      <c r="J10" s="2">
        <f t="shared" si="1"/>
        <v>12538681</v>
      </c>
      <c r="S10" s="2">
        <f t="shared" si="2"/>
        <v>31271862.02</v>
      </c>
    </row>
    <row r="11">
      <c r="A11" s="1">
        <v>11.0</v>
      </c>
      <c r="B11" s="1">
        <v>6589.0</v>
      </c>
      <c r="D11" s="1">
        <v>4868.0</v>
      </c>
      <c r="F11" s="1">
        <v>3724.0</v>
      </c>
      <c r="J11" s="2">
        <f t="shared" si="1"/>
        <v>13868176</v>
      </c>
      <c r="L11" s="3" t="s">
        <v>4</v>
      </c>
      <c r="M11" s="3" t="s">
        <v>5</v>
      </c>
      <c r="N11" s="3" t="s">
        <v>6</v>
      </c>
      <c r="O11" s="3" t="s">
        <v>7</v>
      </c>
      <c r="P11" s="3" t="s">
        <v>8</v>
      </c>
      <c r="Q11" s="3" t="s">
        <v>9</v>
      </c>
      <c r="S11" s="2">
        <f t="shared" si="2"/>
        <v>18991074.52</v>
      </c>
    </row>
    <row r="12">
      <c r="A12" s="1">
        <v>12.0</v>
      </c>
      <c r="B12" s="1">
        <v>4760.0</v>
      </c>
      <c r="D12" s="1">
        <v>3190.0</v>
      </c>
      <c r="F12" s="1">
        <v>4249.0</v>
      </c>
      <c r="J12" s="2">
        <f t="shared" si="1"/>
        <v>18054001</v>
      </c>
      <c r="L12" s="4">
        <f>E50</f>
        <v>788</v>
      </c>
      <c r="M12" s="4">
        <f t="shared" ref="M12:M16" si="3">1-EXP(-$L$6*L12)</f>
        <v>0.1041041563</v>
      </c>
      <c r="N12" s="4">
        <f t="shared" ref="N12:N15" si="4">M13-M12</f>
        <v>0.317847498</v>
      </c>
      <c r="O12" s="4">
        <f t="shared" ref="O12:O15" si="5">$M$6*N12</f>
        <v>12.71389992</v>
      </c>
      <c r="P12" s="3">
        <v>11.0</v>
      </c>
      <c r="Q12" s="4">
        <f t="shared" ref="Q12:Q15" si="6">(P12-O12)^2/O12</f>
        <v>0.2310426349</v>
      </c>
      <c r="S12" s="2">
        <f t="shared" si="2"/>
        <v>2992467.516</v>
      </c>
    </row>
    <row r="13">
      <c r="A13" s="1">
        <v>13.0</v>
      </c>
      <c r="B13" s="1">
        <v>9197.0</v>
      </c>
      <c r="D13" s="1">
        <v>10712.0</v>
      </c>
      <c r="F13" s="1">
        <v>4638.0</v>
      </c>
      <c r="J13" s="2">
        <f t="shared" si="1"/>
        <v>21511044</v>
      </c>
      <c r="L13" s="4">
        <f>$E$50+$G$50 * 1</f>
        <v>3928.833333</v>
      </c>
      <c r="M13" s="4">
        <f t="shared" si="3"/>
        <v>0.4219516543</v>
      </c>
      <c r="N13" s="4">
        <f t="shared" si="4"/>
        <v>0.2050810054</v>
      </c>
      <c r="O13" s="4">
        <f t="shared" si="5"/>
        <v>8.203240218</v>
      </c>
      <c r="P13" s="3">
        <v>10.0</v>
      </c>
      <c r="Q13" s="4">
        <f t="shared" si="6"/>
        <v>0.3935451881</v>
      </c>
      <c r="S13" s="2">
        <f t="shared" si="2"/>
        <v>335385.7656</v>
      </c>
    </row>
    <row r="14">
      <c r="A14" s="1">
        <v>14.0</v>
      </c>
      <c r="B14" s="1">
        <v>4868.0</v>
      </c>
      <c r="D14" s="1">
        <v>8324.0</v>
      </c>
      <c r="F14" s="1">
        <v>4760.0</v>
      </c>
      <c r="J14" s="2">
        <f t="shared" si="1"/>
        <v>22657600</v>
      </c>
      <c r="L14" s="4">
        <f>$E$50+$G$50 * 2</f>
        <v>7069.666667</v>
      </c>
      <c r="M14" s="4">
        <f t="shared" si="3"/>
        <v>0.6270326598</v>
      </c>
      <c r="N14" s="4">
        <f t="shared" si="4"/>
        <v>0.1323220068</v>
      </c>
      <c r="O14" s="4">
        <f t="shared" si="5"/>
        <v>5.292880272</v>
      </c>
      <c r="P14" s="3">
        <v>9.0</v>
      </c>
      <c r="Q14" s="4">
        <f t="shared" si="6"/>
        <v>2.596457121</v>
      </c>
      <c r="S14" s="2">
        <f t="shared" si="2"/>
        <v>5799066.016</v>
      </c>
    </row>
    <row r="15">
      <c r="A15" s="1">
        <v>15.0</v>
      </c>
      <c r="B15" s="1">
        <v>3190.0</v>
      </c>
      <c r="D15" s="1">
        <v>5308.0</v>
      </c>
      <c r="F15" s="1">
        <v>4868.0</v>
      </c>
      <c r="J15" s="2">
        <f t="shared" si="1"/>
        <v>23697424</v>
      </c>
      <c r="L15" s="4">
        <f>$E$50+$G$50 * 3</f>
        <v>10210.5</v>
      </c>
      <c r="M15" s="4">
        <f t="shared" si="3"/>
        <v>0.7593546666</v>
      </c>
      <c r="N15" s="4">
        <f t="shared" si="4"/>
        <v>0.1760059259</v>
      </c>
      <c r="O15" s="4">
        <f t="shared" si="5"/>
        <v>7.040237037</v>
      </c>
      <c r="P15" s="3">
        <v>10.0</v>
      </c>
      <c r="Q15" s="4">
        <f t="shared" si="6"/>
        <v>1.24430424</v>
      </c>
      <c r="S15" s="2">
        <f t="shared" si="2"/>
        <v>4116333.766</v>
      </c>
    </row>
    <row r="16">
      <c r="A16" s="1">
        <v>16.0</v>
      </c>
      <c r="B16" s="1">
        <v>10712.0</v>
      </c>
      <c r="D16" s="1">
        <v>10496.0</v>
      </c>
      <c r="F16" s="1">
        <v>5055.0</v>
      </c>
      <c r="J16" s="2">
        <f t="shared" si="1"/>
        <v>25553025</v>
      </c>
      <c r="L16" s="4">
        <f>$E$50+$G$50 * 6</f>
        <v>19633</v>
      </c>
      <c r="M16" s="4">
        <f t="shared" si="3"/>
        <v>0.9353605925</v>
      </c>
      <c r="N16" s="4"/>
      <c r="O16" s="4">
        <f>SUM(O12:O15)</f>
        <v>33.25025745</v>
      </c>
      <c r="P16" s="4"/>
      <c r="Q16" s="4">
        <f>SUM(Q12:Q15)</f>
        <v>4.465349184</v>
      </c>
      <c r="S16" s="2">
        <f t="shared" si="2"/>
        <v>5290575.016</v>
      </c>
    </row>
    <row r="17">
      <c r="A17" s="1">
        <v>17.0</v>
      </c>
      <c r="B17" s="1">
        <v>1343.0</v>
      </c>
      <c r="D17" s="1">
        <v>2345.0</v>
      </c>
      <c r="F17" s="1">
        <v>5251.0</v>
      </c>
      <c r="J17" s="2">
        <f t="shared" si="1"/>
        <v>27573001</v>
      </c>
      <c r="S17" s="2">
        <f t="shared" si="2"/>
        <v>15825478.52</v>
      </c>
    </row>
    <row r="18">
      <c r="A18" s="1">
        <v>18.0</v>
      </c>
      <c r="B18" s="1">
        <v>8324.0</v>
      </c>
      <c r="D18" s="1">
        <v>7194.0</v>
      </c>
      <c r="F18" s="1">
        <v>5308.0</v>
      </c>
      <c r="J18" s="2">
        <f t="shared" si="1"/>
        <v>28174864</v>
      </c>
      <c r="S18" s="2">
        <f t="shared" si="2"/>
        <v>12559050.02</v>
      </c>
    </row>
    <row r="19">
      <c r="A19" s="1">
        <v>19.0</v>
      </c>
      <c r="B19" s="1">
        <v>5308.0</v>
      </c>
      <c r="D19" s="1">
        <v>11759.0</v>
      </c>
      <c r="F19" s="1">
        <v>6054.0</v>
      </c>
      <c r="J19" s="2">
        <f t="shared" si="1"/>
        <v>36650916</v>
      </c>
      <c r="S19" s="2">
        <f t="shared" si="2"/>
        <v>33932081.27</v>
      </c>
    </row>
    <row r="20">
      <c r="A20" s="1">
        <v>20.0</v>
      </c>
      <c r="B20" s="1">
        <v>10496.0</v>
      </c>
      <c r="D20" s="1">
        <v>2351.0</v>
      </c>
      <c r="F20" s="1">
        <v>6383.0</v>
      </c>
      <c r="J20" s="2">
        <f t="shared" si="1"/>
        <v>40742689</v>
      </c>
      <c r="L20" s="1" t="s">
        <v>10</v>
      </c>
      <c r="M20" s="1" t="s">
        <v>11</v>
      </c>
      <c r="N20" s="1" t="s">
        <v>12</v>
      </c>
      <c r="O20" s="1">
        <v>6.0</v>
      </c>
      <c r="S20" s="2">
        <f t="shared" si="2"/>
        <v>1336047.016</v>
      </c>
    </row>
    <row r="21">
      <c r="A21" s="1">
        <v>21.0</v>
      </c>
      <c r="B21" s="1">
        <v>2345.0</v>
      </c>
      <c r="D21" s="1">
        <v>7114.0</v>
      </c>
      <c r="F21" s="1">
        <v>6589.0</v>
      </c>
      <c r="J21" s="2">
        <f t="shared" si="1"/>
        <v>43414921</v>
      </c>
      <c r="N21" s="5" t="s">
        <v>13</v>
      </c>
      <c r="S21" s="2">
        <f t="shared" si="2"/>
        <v>3460065.016</v>
      </c>
    </row>
    <row r="22">
      <c r="A22" s="1">
        <v>22.0</v>
      </c>
      <c r="B22" s="1">
        <v>7194.0</v>
      </c>
      <c r="D22" s="1">
        <v>4249.0</v>
      </c>
      <c r="F22" s="1">
        <v>7114.0</v>
      </c>
      <c r="J22" s="2">
        <f t="shared" si="1"/>
        <v>50608996</v>
      </c>
      <c r="L22" s="2" t="b">
        <f>Q16&lt;=O20</f>
        <v>1</v>
      </c>
      <c r="M22" s="1" t="s">
        <v>14</v>
      </c>
      <c r="S22" s="2">
        <f t="shared" si="2"/>
        <v>11074752.02</v>
      </c>
    </row>
    <row r="23">
      <c r="A23" s="1">
        <v>23.0</v>
      </c>
      <c r="B23" s="1">
        <v>11759.0</v>
      </c>
      <c r="D23" s="1">
        <v>8603.0</v>
      </c>
      <c r="F23" s="1">
        <v>7194.0</v>
      </c>
      <c r="J23" s="2">
        <f t="shared" si="1"/>
        <v>51753636</v>
      </c>
      <c r="S23" s="2">
        <f t="shared" si="2"/>
        <v>23262534.77</v>
      </c>
    </row>
    <row r="24">
      <c r="A24" s="1">
        <v>24.0</v>
      </c>
      <c r="B24" s="1">
        <v>2351.0</v>
      </c>
      <c r="D24" s="1">
        <v>2189.0</v>
      </c>
      <c r="F24" s="1">
        <v>8324.0</v>
      </c>
      <c r="J24" s="2">
        <f t="shared" si="1"/>
        <v>69288976</v>
      </c>
      <c r="S24" s="2">
        <f t="shared" si="2"/>
        <v>669.515625</v>
      </c>
    </row>
    <row r="25">
      <c r="A25" s="1">
        <v>25.0</v>
      </c>
      <c r="B25" s="1">
        <v>7114.0</v>
      </c>
      <c r="D25" s="1">
        <v>14091.0</v>
      </c>
      <c r="F25" s="1">
        <v>8522.0</v>
      </c>
      <c r="J25" s="2">
        <f t="shared" si="1"/>
        <v>72624484</v>
      </c>
      <c r="S25" s="2">
        <f t="shared" si="2"/>
        <v>21076133.27</v>
      </c>
    </row>
    <row r="26">
      <c r="A26" s="1">
        <v>26.0</v>
      </c>
      <c r="B26" s="1">
        <v>4249.0</v>
      </c>
      <c r="D26" s="1">
        <v>17762.0</v>
      </c>
      <c r="F26" s="1">
        <v>8603.0</v>
      </c>
      <c r="J26" s="2">
        <f t="shared" si="1"/>
        <v>74011609</v>
      </c>
      <c r="S26" s="2">
        <f t="shared" si="2"/>
        <v>23204693.27</v>
      </c>
    </row>
    <row r="27">
      <c r="A27" s="1">
        <v>27.0</v>
      </c>
      <c r="B27" s="1">
        <v>19633.0</v>
      </c>
      <c r="D27" s="1">
        <v>6054.0</v>
      </c>
      <c r="F27" s="1">
        <v>8818.0</v>
      </c>
      <c r="J27" s="2">
        <f t="shared" si="1"/>
        <v>77757124</v>
      </c>
      <c r="S27" s="2">
        <f t="shared" si="2"/>
        <v>2929.515625</v>
      </c>
    </row>
    <row r="28">
      <c r="A28" s="1">
        <v>28.0</v>
      </c>
      <c r="B28" s="1">
        <v>8603.0</v>
      </c>
      <c r="D28" s="1">
        <v>3541.0</v>
      </c>
      <c r="F28" s="1">
        <v>8898.0</v>
      </c>
      <c r="J28" s="2">
        <f t="shared" si="1"/>
        <v>79174404</v>
      </c>
      <c r="S28" s="2">
        <f t="shared" si="2"/>
        <v>8521290.766</v>
      </c>
    </row>
    <row r="29">
      <c r="A29" s="1">
        <v>29.0</v>
      </c>
      <c r="B29" s="1">
        <v>2189.0</v>
      </c>
      <c r="D29" s="1">
        <v>10337.0</v>
      </c>
      <c r="F29" s="1">
        <v>9194.0</v>
      </c>
      <c r="J29" s="2">
        <f t="shared" si="1"/>
        <v>84529636</v>
      </c>
      <c r="S29" s="2">
        <f t="shared" si="2"/>
        <v>155373108.8</v>
      </c>
    </row>
    <row r="30">
      <c r="A30" s="1">
        <v>30.0</v>
      </c>
      <c r="B30" s="1">
        <v>14091.0</v>
      </c>
      <c r="D30" s="1">
        <v>3372.0</v>
      </c>
      <c r="F30" s="1">
        <v>9197.0</v>
      </c>
      <c r="J30" s="2">
        <f t="shared" si="1"/>
        <v>84584809</v>
      </c>
      <c r="S30" s="2">
        <f t="shared" si="2"/>
        <v>2058866.266</v>
      </c>
    </row>
    <row r="31">
      <c r="A31" s="1">
        <v>31.0</v>
      </c>
      <c r="B31" s="1">
        <v>17762.0</v>
      </c>
      <c r="D31" s="1">
        <v>11467.0</v>
      </c>
      <c r="F31" s="1">
        <v>10337.0</v>
      </c>
      <c r="J31" s="2">
        <f t="shared" si="1"/>
        <v>106853569</v>
      </c>
      <c r="S31" s="2">
        <f t="shared" si="2"/>
        <v>24791685.77</v>
      </c>
    </row>
    <row r="32">
      <c r="A32" s="1">
        <v>32.0</v>
      </c>
      <c r="B32" s="1">
        <v>6054.0</v>
      </c>
      <c r="D32" s="1">
        <v>14407.0</v>
      </c>
      <c r="F32" s="1">
        <v>10496.0</v>
      </c>
      <c r="J32" s="2">
        <f t="shared" si="1"/>
        <v>110166016</v>
      </c>
      <c r="S32" s="2">
        <f t="shared" si="2"/>
        <v>47926198.27</v>
      </c>
    </row>
    <row r="33">
      <c r="A33" s="1">
        <v>33.0</v>
      </c>
      <c r="B33" s="1">
        <v>3541.0</v>
      </c>
      <c r="D33" s="1">
        <v>6383.0</v>
      </c>
      <c r="F33" s="1">
        <v>10712.0</v>
      </c>
      <c r="J33" s="2">
        <f t="shared" si="1"/>
        <v>114746944</v>
      </c>
      <c r="S33" s="2">
        <f t="shared" si="2"/>
        <v>112230187.5</v>
      </c>
    </row>
    <row r="34">
      <c r="A34" s="1">
        <v>34.0</v>
      </c>
      <c r="B34" s="1">
        <v>10337.0</v>
      </c>
      <c r="D34" s="1">
        <v>5251.0</v>
      </c>
      <c r="F34" s="1">
        <v>11467.0</v>
      </c>
      <c r="J34" s="2">
        <f t="shared" si="1"/>
        <v>131492089</v>
      </c>
      <c r="S34" s="2">
        <f t="shared" si="2"/>
        <v>1241274.516</v>
      </c>
    </row>
    <row r="35">
      <c r="A35" s="1">
        <v>35.0</v>
      </c>
      <c r="B35" s="1">
        <v>3372.0</v>
      </c>
      <c r="D35" s="1">
        <v>8818.0</v>
      </c>
      <c r="F35" s="1">
        <v>11526.0</v>
      </c>
      <c r="J35" s="2">
        <f t="shared" si="1"/>
        <v>132848676</v>
      </c>
      <c r="S35" s="2">
        <f t="shared" si="2"/>
        <v>13156035.77</v>
      </c>
    </row>
    <row r="36">
      <c r="A36" s="1">
        <v>36.0</v>
      </c>
      <c r="B36" s="1">
        <v>11467.0</v>
      </c>
      <c r="F36" s="1">
        <v>11759.0</v>
      </c>
      <c r="G36" s="3"/>
      <c r="H36" s="4"/>
      <c r="S36" s="2">
        <f t="shared" si="2"/>
        <v>10041768.77</v>
      </c>
    </row>
    <row r="37">
      <c r="A37" s="1">
        <v>37.0</v>
      </c>
      <c r="B37" s="1">
        <v>14407.0</v>
      </c>
      <c r="F37" s="1">
        <v>14091.0</v>
      </c>
      <c r="G37" s="3"/>
      <c r="H37" s="4"/>
      <c r="I37" s="6"/>
      <c r="S37" s="2">
        <f t="shared" si="2"/>
        <v>14410565.02</v>
      </c>
    </row>
    <row r="38">
      <c r="A38" s="1">
        <v>38.0</v>
      </c>
      <c r="B38" s="1">
        <v>6383.0</v>
      </c>
      <c r="F38" s="1">
        <v>14407.0</v>
      </c>
      <c r="G38" s="3"/>
      <c r="H38" s="4"/>
      <c r="S38" s="2">
        <f t="shared" si="2"/>
        <v>18480326.27</v>
      </c>
    </row>
    <row r="39">
      <c r="A39" s="1">
        <v>39.0</v>
      </c>
      <c r="B39" s="1">
        <v>5251.0</v>
      </c>
      <c r="F39" s="1">
        <v>17762.0</v>
      </c>
      <c r="S39" s="2">
        <f t="shared" si="2"/>
        <v>52401311.27</v>
      </c>
    </row>
    <row r="40">
      <c r="A40" s="1">
        <v>40.0</v>
      </c>
      <c r="B40" s="1">
        <v>8818.0</v>
      </c>
      <c r="F40" s="1">
        <v>19633.0</v>
      </c>
      <c r="S40" s="2">
        <f t="shared" si="2"/>
        <v>616421.2656</v>
      </c>
    </row>
    <row r="41">
      <c r="S41" s="2">
        <f t="shared" si="2"/>
        <v>3675368.266</v>
      </c>
    </row>
    <row r="42">
      <c r="A42" s="1" t="s">
        <v>15</v>
      </c>
      <c r="B42" s="2" t="str">
        <f>MODE(B1:B40)</f>
        <v>#N/A</v>
      </c>
      <c r="C42" s="1" t="s">
        <v>16</v>
      </c>
      <c r="S42" s="2">
        <f t="shared" si="2"/>
        <v>2722087.516</v>
      </c>
    </row>
    <row r="43">
      <c r="A43" s="1" t="s">
        <v>17</v>
      </c>
      <c r="B43" s="2">
        <f>MEDIAN(B1:B40)</f>
        <v>6486</v>
      </c>
      <c r="C43" s="7">
        <f>B43*3 +B43</f>
        <v>25944</v>
      </c>
      <c r="D43" s="7">
        <f>B43 - 3*B43</f>
        <v>-12972</v>
      </c>
    </row>
    <row r="44">
      <c r="A44" s="1" t="s">
        <v>18</v>
      </c>
      <c r="B44" s="2">
        <f>SUM(B1:B40)/COUNT(B1:B40)</f>
        <v>7168.125</v>
      </c>
      <c r="H44" s="8" t="s">
        <v>19</v>
      </c>
      <c r="I44" s="9"/>
      <c r="J44" s="3" t="s">
        <v>20</v>
      </c>
      <c r="K44" s="1" t="s">
        <v>21</v>
      </c>
      <c r="M44" s="8" t="s">
        <v>19</v>
      </c>
      <c r="N44" s="9"/>
      <c r="O44" s="3" t="s">
        <v>20</v>
      </c>
    </row>
    <row r="45">
      <c r="A45" s="1" t="s">
        <v>22</v>
      </c>
      <c r="C45" s="10">
        <f>SUM(S3:S42)/40</f>
        <v>19710205.56</v>
      </c>
      <c r="D45" s="2">
        <f>SQRT(C45)</f>
        <v>4439.617727</v>
      </c>
      <c r="H45" s="4">
        <f>E50</f>
        <v>788</v>
      </c>
      <c r="I45" s="4">
        <f>$E$50+$G$50 * 1</f>
        <v>3928.833333</v>
      </c>
      <c r="J45" s="4">
        <f>COUNT(A90:A100)</f>
        <v>11</v>
      </c>
      <c r="K45" s="2">
        <f t="shared" ref="K45:K50" si="7">J45/SUM($J$45:$J$50)</f>
        <v>0.275</v>
      </c>
      <c r="M45" s="4">
        <v>788.0</v>
      </c>
      <c r="N45" s="4">
        <v>3928.8333333333335</v>
      </c>
      <c r="O45" s="4">
        <v>11.0</v>
      </c>
    </row>
    <row r="46">
      <c r="A46" s="1" t="s">
        <v>23</v>
      </c>
      <c r="B46" s="2">
        <f>STDEVP(B1:B40) / AVERAGE(B1:B40) * 100</f>
        <v>61.93555116</v>
      </c>
      <c r="C46" s="1" t="s">
        <v>24</v>
      </c>
      <c r="H46" s="4">
        <f>$E$50 + $G$50 * 1</f>
        <v>3928.833333</v>
      </c>
      <c r="I46" s="4">
        <f>$E$50+$G$50 * 2</f>
        <v>7069.666667</v>
      </c>
      <c r="J46" s="4">
        <f>COUNT(B90:B100)</f>
        <v>10</v>
      </c>
      <c r="K46" s="2">
        <f t="shared" si="7"/>
        <v>0.25</v>
      </c>
      <c r="M46" s="4">
        <v>3928.8333333333335</v>
      </c>
      <c r="N46" s="4">
        <v>7069.666666666667</v>
      </c>
      <c r="O46" s="4">
        <v>10.0</v>
      </c>
    </row>
    <row r="47">
      <c r="H47" s="4">
        <f>$E$50 + $G$50 * 2</f>
        <v>7069.666667</v>
      </c>
      <c r="I47" s="4">
        <f>$E$50+$G$50 * 3</f>
        <v>10210.5</v>
      </c>
      <c r="J47" s="4">
        <f>COUNT(C90:C100)</f>
        <v>9</v>
      </c>
      <c r="K47" s="2">
        <f t="shared" si="7"/>
        <v>0.225</v>
      </c>
      <c r="M47" s="4">
        <v>7069.666666666667</v>
      </c>
      <c r="N47" s="4">
        <v>10210.5</v>
      </c>
      <c r="O47" s="4">
        <v>9.0</v>
      </c>
    </row>
    <row r="48">
      <c r="E48" s="11" t="s">
        <v>25</v>
      </c>
      <c r="F48" s="12"/>
      <c r="G48" s="12"/>
      <c r="H48" s="4">
        <f>$E$50 + $G$50 * 3</f>
        <v>10210.5</v>
      </c>
      <c r="I48" s="4">
        <f>$E$50+$G$50 * 4</f>
        <v>13351.33333</v>
      </c>
      <c r="J48" s="4">
        <f>COUNT(D90:D100)</f>
        <v>6</v>
      </c>
      <c r="K48" s="2">
        <f t="shared" si="7"/>
        <v>0.15</v>
      </c>
      <c r="M48" s="4">
        <v>10210.5</v>
      </c>
      <c r="N48" s="3">
        <v>19633.0</v>
      </c>
      <c r="O48" s="3">
        <v>10.0</v>
      </c>
    </row>
    <row r="49">
      <c r="A49" s="3" t="s">
        <v>4</v>
      </c>
      <c r="B49" s="3" t="s">
        <v>20</v>
      </c>
      <c r="C49" s="3" t="s">
        <v>26</v>
      </c>
      <c r="E49" s="12">
        <f>MAX(F1:F40)</f>
        <v>19633</v>
      </c>
      <c r="F49" s="12"/>
      <c r="G49" s="11" t="s">
        <v>27</v>
      </c>
      <c r="H49" s="4">
        <f>$E$50 + $G$50 * 4</f>
        <v>13351.33333</v>
      </c>
      <c r="I49" s="4">
        <f>$E$50+$G$50 * 5</f>
        <v>16492.16667</v>
      </c>
      <c r="J49" s="4">
        <f>COUNT(E90:E100)</f>
        <v>2</v>
      </c>
      <c r="K49" s="2">
        <f t="shared" si="7"/>
        <v>0.05</v>
      </c>
    </row>
    <row r="50">
      <c r="A50" s="3" t="s">
        <v>28</v>
      </c>
      <c r="B50" s="3">
        <v>10.0</v>
      </c>
      <c r="C50" s="4">
        <f t="shared" ref="C50:C55" si="8">AVERAGE(H45,I45)</f>
        <v>2358.416667</v>
      </c>
      <c r="E50" s="12">
        <f>MIN(F1:F40)</f>
        <v>788</v>
      </c>
      <c r="F50" s="12">
        <f>E49-E50</f>
        <v>18845</v>
      </c>
      <c r="G50" s="12">
        <f>F50/6</f>
        <v>3140.833333</v>
      </c>
      <c r="H50" s="4">
        <f>$E$50 + $G$50 * 5</f>
        <v>16492.16667</v>
      </c>
      <c r="I50" s="4">
        <f>$E$50+$G$50 * 6</f>
        <v>19633</v>
      </c>
      <c r="J50" s="4">
        <f>COUNT(F90:F100)</f>
        <v>2</v>
      </c>
      <c r="K50" s="2">
        <f t="shared" si="7"/>
        <v>0.05</v>
      </c>
    </row>
    <row r="51">
      <c r="A51" s="3" t="s">
        <v>29</v>
      </c>
      <c r="B51" s="3">
        <v>9.0</v>
      </c>
      <c r="C51" s="4">
        <f t="shared" si="8"/>
        <v>5499.25</v>
      </c>
      <c r="K51" s="2">
        <f>SUM(K45:K50)</f>
        <v>1</v>
      </c>
    </row>
    <row r="52">
      <c r="A52" s="3" t="s">
        <v>30</v>
      </c>
      <c r="B52" s="3">
        <v>7.0</v>
      </c>
      <c r="C52" s="4">
        <f t="shared" si="8"/>
        <v>8640.083333</v>
      </c>
    </row>
    <row r="53">
      <c r="A53" s="3" t="s">
        <v>31</v>
      </c>
      <c r="B53" s="3">
        <v>6.0</v>
      </c>
      <c r="C53" s="4">
        <f t="shared" si="8"/>
        <v>11780.91667</v>
      </c>
    </row>
    <row r="54">
      <c r="A54" s="3" t="s">
        <v>32</v>
      </c>
      <c r="B54" s="3">
        <v>2.0</v>
      </c>
      <c r="C54" s="4">
        <f t="shared" si="8"/>
        <v>14921.75</v>
      </c>
    </row>
    <row r="55">
      <c r="A55" s="3" t="s">
        <v>33</v>
      </c>
      <c r="B55" s="3">
        <v>1.0</v>
      </c>
      <c r="C55" s="4">
        <f t="shared" si="8"/>
        <v>18062.58333</v>
      </c>
    </row>
    <row r="76">
      <c r="A76" s="1" t="s">
        <v>34</v>
      </c>
    </row>
    <row r="88">
      <c r="A88" s="5" t="s">
        <v>35</v>
      </c>
    </row>
    <row r="89">
      <c r="A89" s="13" t="s">
        <v>36</v>
      </c>
    </row>
    <row r="90">
      <c r="A90" s="3">
        <v>788.0</v>
      </c>
      <c r="B90" s="3">
        <v>4249.0</v>
      </c>
      <c r="C90" s="3">
        <v>7114.0</v>
      </c>
      <c r="D90" s="3">
        <v>10337.0</v>
      </c>
      <c r="E90" s="3">
        <v>14091.0</v>
      </c>
      <c r="F90" s="3">
        <v>17762.0</v>
      </c>
      <c r="I90" s="2">
        <f t="shared" ref="I90:N90" si="9">(A90-A$103)^2</f>
        <v>2345909.95</v>
      </c>
      <c r="J90" s="2">
        <f t="shared" si="9"/>
        <v>1137422.25</v>
      </c>
      <c r="K90" s="2">
        <f t="shared" si="9"/>
        <v>1730101.778</v>
      </c>
      <c r="L90" s="2">
        <f t="shared" si="9"/>
        <v>507656.25</v>
      </c>
      <c r="M90" s="2">
        <f t="shared" si="9"/>
        <v>24964</v>
      </c>
      <c r="N90" s="2">
        <f t="shared" si="9"/>
        <v>875160.25</v>
      </c>
    </row>
    <row r="91">
      <c r="A91" s="3">
        <v>1097.0</v>
      </c>
      <c r="B91" s="3">
        <v>4638.0</v>
      </c>
      <c r="C91" s="3">
        <v>7194.0</v>
      </c>
      <c r="D91" s="3">
        <v>10496.0</v>
      </c>
      <c r="E91" s="3">
        <v>14407.0</v>
      </c>
      <c r="F91" s="3">
        <v>19633.0</v>
      </c>
      <c r="I91" s="2">
        <f t="shared" ref="I91:N91" si="10">(A91-A$103)^2</f>
        <v>1494839.678</v>
      </c>
      <c r="J91" s="2">
        <f t="shared" si="10"/>
        <v>459006.25</v>
      </c>
      <c r="K91" s="2">
        <f t="shared" si="10"/>
        <v>1526048.444</v>
      </c>
      <c r="L91" s="2">
        <f t="shared" si="10"/>
        <v>306362.25</v>
      </c>
      <c r="M91" s="2">
        <f t="shared" si="10"/>
        <v>24964</v>
      </c>
      <c r="N91" s="2">
        <f t="shared" si="10"/>
        <v>875160.25</v>
      </c>
    </row>
    <row r="92">
      <c r="A92" s="3">
        <v>1343.0</v>
      </c>
      <c r="B92" s="3">
        <v>4760.0</v>
      </c>
      <c r="C92" s="3">
        <v>8324.0</v>
      </c>
      <c r="D92" s="3">
        <v>10712.0</v>
      </c>
      <c r="E92" s="14"/>
      <c r="F92" s="14"/>
      <c r="I92" s="2">
        <f t="shared" ref="I92:L92" si="11">(A92-A$103)^2</f>
        <v>953818.5868</v>
      </c>
      <c r="J92" s="2">
        <f t="shared" si="11"/>
        <v>308580.25</v>
      </c>
      <c r="K92" s="2">
        <f t="shared" si="11"/>
        <v>11095.11111</v>
      </c>
      <c r="L92" s="2">
        <f t="shared" si="11"/>
        <v>113906.25</v>
      </c>
    </row>
    <row r="93">
      <c r="A93" s="3">
        <v>1576.0</v>
      </c>
      <c r="B93" s="3">
        <v>4868.0</v>
      </c>
      <c r="C93" s="3">
        <v>8522.0</v>
      </c>
      <c r="D93" s="3">
        <v>11467.0</v>
      </c>
      <c r="E93" s="14"/>
      <c r="F93" s="14"/>
      <c r="I93" s="2">
        <f t="shared" ref="I93:L93" si="12">(A93-A$103)^2</f>
        <v>552995.0413</v>
      </c>
      <c r="J93" s="2">
        <f t="shared" si="12"/>
        <v>200256.25</v>
      </c>
      <c r="K93" s="2">
        <f t="shared" si="12"/>
        <v>8587.111111</v>
      </c>
      <c r="L93" s="2">
        <f t="shared" si="12"/>
        <v>174306.25</v>
      </c>
    </row>
    <row r="94">
      <c r="A94" s="3">
        <v>2189.0</v>
      </c>
      <c r="B94" s="3">
        <v>5055.0</v>
      </c>
      <c r="C94" s="3">
        <v>8603.0</v>
      </c>
      <c r="D94" s="3">
        <v>11526.0</v>
      </c>
      <c r="E94" s="14"/>
      <c r="F94" s="14"/>
      <c r="I94" s="2">
        <f t="shared" ref="I94:L94" si="13">(A94-A$103)^2</f>
        <v>17065.8595</v>
      </c>
      <c r="J94" s="2">
        <f t="shared" si="13"/>
        <v>67860.25</v>
      </c>
      <c r="K94" s="2">
        <f t="shared" si="13"/>
        <v>30160.11111</v>
      </c>
      <c r="L94" s="2">
        <f t="shared" si="13"/>
        <v>227052.25</v>
      </c>
    </row>
    <row r="95">
      <c r="A95" s="3">
        <v>2345.0</v>
      </c>
      <c r="B95" s="3">
        <v>5251.0</v>
      </c>
      <c r="C95" s="3">
        <v>8818.0</v>
      </c>
      <c r="D95" s="3">
        <v>11759.0</v>
      </c>
      <c r="E95" s="14"/>
      <c r="F95" s="14"/>
      <c r="I95" s="2">
        <f t="shared" ref="I95:L95" si="14">(A95-A$103)^2</f>
        <v>643.3140496</v>
      </c>
      <c r="J95" s="2">
        <f t="shared" si="14"/>
        <v>4160.25</v>
      </c>
      <c r="K95" s="2">
        <f t="shared" si="14"/>
        <v>151061.7778</v>
      </c>
      <c r="L95" s="2">
        <f t="shared" si="14"/>
        <v>503390.25</v>
      </c>
    </row>
    <row r="96">
      <c r="A96" s="3">
        <v>2351.0</v>
      </c>
      <c r="B96" s="3">
        <v>5308.0</v>
      </c>
      <c r="C96" s="3">
        <v>8898.0</v>
      </c>
      <c r="D96" s="14"/>
      <c r="E96" s="14"/>
      <c r="F96" s="14"/>
      <c r="I96" s="2">
        <f t="shared" ref="I96:K96" si="15">(A96-A$103)^2</f>
        <v>983.677686</v>
      </c>
      <c r="J96" s="2">
        <f t="shared" si="15"/>
        <v>56.25</v>
      </c>
      <c r="K96" s="2">
        <f t="shared" si="15"/>
        <v>219648.4444</v>
      </c>
    </row>
    <row r="97">
      <c r="A97" s="3">
        <v>3190.0</v>
      </c>
      <c r="B97" s="3">
        <v>6054.0</v>
      </c>
      <c r="C97" s="3">
        <v>9194.0</v>
      </c>
      <c r="D97" s="14"/>
      <c r="E97" s="14"/>
      <c r="F97" s="14"/>
      <c r="I97" s="2">
        <f t="shared" ref="I97:K97" si="16">(A97-A$103)^2</f>
        <v>757532.8595</v>
      </c>
      <c r="J97" s="2">
        <f t="shared" si="16"/>
        <v>545382.25</v>
      </c>
      <c r="K97" s="2">
        <f t="shared" si="16"/>
        <v>584715.1111</v>
      </c>
    </row>
    <row r="98">
      <c r="A98" s="3">
        <v>3372.0</v>
      </c>
      <c r="B98" s="3">
        <v>6383.0</v>
      </c>
      <c r="C98" s="3">
        <v>9197.0</v>
      </c>
      <c r="D98" s="14"/>
      <c r="E98" s="14"/>
      <c r="F98" s="14"/>
      <c r="G98" s="1" t="s">
        <v>37</v>
      </c>
      <c r="I98" s="2">
        <f t="shared" ref="I98:K98" si="17">(A98-A$103)^2</f>
        <v>1107469.223</v>
      </c>
      <c r="J98" s="2">
        <f t="shared" si="17"/>
        <v>1139556.25</v>
      </c>
      <c r="K98" s="2">
        <f t="shared" si="17"/>
        <v>589312.1111</v>
      </c>
    </row>
    <row r="99">
      <c r="A99" s="3">
        <v>3541.0</v>
      </c>
      <c r="B99" s="3">
        <v>6589.0</v>
      </c>
      <c r="C99" s="14"/>
      <c r="D99" s="14"/>
      <c r="E99" s="14"/>
      <c r="F99" s="14"/>
      <c r="G99" s="1">
        <f>SUM(A90:F100)/COUNT(A90:F100)</f>
        <v>7168.125</v>
      </c>
      <c r="I99" s="2">
        <f t="shared" ref="I99:J99" si="18">(A99-A$103)^2</f>
        <v>1491729.132</v>
      </c>
      <c r="J99" s="2">
        <f t="shared" si="18"/>
        <v>1621802.25</v>
      </c>
    </row>
    <row r="100">
      <c r="A100" s="3">
        <v>3724.0</v>
      </c>
      <c r="B100" s="4"/>
      <c r="C100" s="4"/>
      <c r="D100" s="4"/>
      <c r="E100" s="4"/>
      <c r="F100" s="4"/>
      <c r="I100" s="2">
        <f>(A100-A$103)^2</f>
        <v>1972237.223</v>
      </c>
    </row>
    <row r="101">
      <c r="A101" s="2">
        <f t="shared" ref="A101:F101" si="19">SUM(A90:A100)</f>
        <v>25516</v>
      </c>
      <c r="B101" s="2">
        <f t="shared" si="19"/>
        <v>53155</v>
      </c>
      <c r="C101" s="2">
        <f t="shared" si="19"/>
        <v>75864</v>
      </c>
      <c r="D101" s="2">
        <f t="shared" si="19"/>
        <v>66297</v>
      </c>
      <c r="E101" s="2">
        <f t="shared" si="19"/>
        <v>28498</v>
      </c>
      <c r="F101" s="2">
        <f t="shared" si="19"/>
        <v>37395</v>
      </c>
    </row>
    <row r="102">
      <c r="A102" s="1" t="s">
        <v>38</v>
      </c>
    </row>
    <row r="103">
      <c r="A103" s="2">
        <f t="shared" ref="A103:F103" si="20">A101/COUNT(A90:A100)</f>
        <v>2319.636364</v>
      </c>
      <c r="B103" s="2">
        <f t="shared" si="20"/>
        <v>5315.5</v>
      </c>
      <c r="C103" s="2">
        <f t="shared" si="20"/>
        <v>8429.333333</v>
      </c>
      <c r="D103" s="2">
        <f t="shared" si="20"/>
        <v>11049.5</v>
      </c>
      <c r="E103" s="2">
        <f t="shared" si="20"/>
        <v>14249</v>
      </c>
      <c r="F103" s="2">
        <f t="shared" si="20"/>
        <v>18697.5</v>
      </c>
    </row>
    <row r="105">
      <c r="A105" s="1" t="s">
        <v>39</v>
      </c>
    </row>
    <row r="106">
      <c r="A106" s="2">
        <f t="shared" ref="A106:F106" si="21">SUM(I90:I100)/COUNT(A90:A100)</f>
        <v>972293.1405</v>
      </c>
      <c r="B106" s="2">
        <f t="shared" si="21"/>
        <v>548408.25</v>
      </c>
      <c r="C106" s="2">
        <f t="shared" si="21"/>
        <v>538970</v>
      </c>
      <c r="D106" s="2">
        <f t="shared" si="21"/>
        <v>305445.5833</v>
      </c>
      <c r="E106" s="2">
        <f t="shared" si="21"/>
        <v>24964</v>
      </c>
      <c r="F106" s="2">
        <f t="shared" si="21"/>
        <v>875160.25</v>
      </c>
    </row>
    <row r="108">
      <c r="A108" s="1" t="s">
        <v>40</v>
      </c>
    </row>
    <row r="109">
      <c r="A109" s="2">
        <f>SUM(I90:N100)/COUNT(A90:F100)</f>
        <v>616573.9761</v>
      </c>
    </row>
    <row r="111">
      <c r="A111" s="1" t="s">
        <v>41</v>
      </c>
    </row>
    <row r="112">
      <c r="A112" s="2">
        <f t="shared" ref="A112:F112" si="22">(((A103-$G$99)^2)*COUNT(A90:A100))</f>
        <v>258586262.6</v>
      </c>
      <c r="B112" s="2">
        <f t="shared" si="22"/>
        <v>34322193.91</v>
      </c>
      <c r="C112" s="2">
        <f t="shared" si="22"/>
        <v>14315818.14</v>
      </c>
      <c r="D112" s="2">
        <f t="shared" si="22"/>
        <v>90390431.34</v>
      </c>
      <c r="E112" s="2">
        <f t="shared" si="22"/>
        <v>100277581.5</v>
      </c>
      <c r="F112" s="2">
        <f t="shared" si="22"/>
        <v>265852975.8</v>
      </c>
    </row>
    <row r="113">
      <c r="A113" s="15" t="s">
        <v>42</v>
      </c>
    </row>
    <row r="114">
      <c r="A114" s="6">
        <f>SUM(A112:F112)/COUNT(A90:F100)</f>
        <v>19093631.58</v>
      </c>
    </row>
    <row r="115">
      <c r="A115" s="1" t="s">
        <v>43</v>
      </c>
    </row>
    <row r="116">
      <c r="A116" s="2">
        <f>A114/$C$45 * 100</f>
        <v>96.87180342</v>
      </c>
    </row>
    <row r="118">
      <c r="A118" s="1" t="s">
        <v>44</v>
      </c>
    </row>
    <row r="119">
      <c r="A119" s="2">
        <f>SUM(A114+A109)</f>
        <v>19710205.56</v>
      </c>
      <c r="B119" s="2" t="b">
        <f>A119=$C$45</f>
        <v>1</v>
      </c>
    </row>
    <row r="122">
      <c r="A122" s="1" t="s">
        <v>45</v>
      </c>
    </row>
    <row r="124">
      <c r="A124" s="1" t="s">
        <v>27</v>
      </c>
    </row>
    <row r="125">
      <c r="A125" s="2">
        <f>F50/5</f>
        <v>3769</v>
      </c>
    </row>
    <row r="127">
      <c r="A127" s="8" t="s">
        <v>19</v>
      </c>
      <c r="B127" s="9"/>
      <c r="C127" s="3" t="s">
        <v>20</v>
      </c>
    </row>
    <row r="128">
      <c r="A128" s="4">
        <f>E50</f>
        <v>788</v>
      </c>
      <c r="B128" s="4">
        <f>$E$50+$A$125 * 1</f>
        <v>4557</v>
      </c>
      <c r="C128" s="4">
        <f>COUNT(A135:A147)</f>
        <v>12</v>
      </c>
    </row>
    <row r="129">
      <c r="A129" s="4">
        <f>$E$50+$A$125 * 1</f>
        <v>4557</v>
      </c>
      <c r="B129" s="4">
        <f>$E$50+$A$125 * 2</f>
        <v>8326</v>
      </c>
      <c r="C129" s="4">
        <f>COUNT(B135:B147)</f>
        <v>12</v>
      </c>
    </row>
    <row r="130">
      <c r="A130" s="4">
        <f>$E$50+$A$125 * 2</f>
        <v>8326</v>
      </c>
      <c r="B130" s="4">
        <f>$E$50+$A$125 * 3</f>
        <v>12095</v>
      </c>
      <c r="C130" s="4">
        <f>COUNT(C135:C147)</f>
        <v>12</v>
      </c>
    </row>
    <row r="131">
      <c r="A131" s="4">
        <f>$E$50+$A$125 * 3</f>
        <v>12095</v>
      </c>
      <c r="B131" s="4">
        <f>$E$50+$A$125 * 4</f>
        <v>15864</v>
      </c>
      <c r="C131" s="4">
        <f>COUNT(D135:D147)</f>
        <v>2</v>
      </c>
    </row>
    <row r="132">
      <c r="A132" s="4">
        <f>$E$50+$A$125 * 4</f>
        <v>15864</v>
      </c>
      <c r="B132" s="4">
        <f>$E$50+$A$125 * 5</f>
        <v>19633</v>
      </c>
      <c r="C132" s="4">
        <f>COUNT(E135:E147)</f>
        <v>2</v>
      </c>
    </row>
    <row r="135">
      <c r="A135" s="1">
        <v>788.0</v>
      </c>
      <c r="B135" s="1">
        <v>4638.0</v>
      </c>
      <c r="C135" s="1">
        <v>8522.0</v>
      </c>
      <c r="D135" s="1">
        <v>14091.0</v>
      </c>
      <c r="E135" s="1">
        <v>17762.0</v>
      </c>
      <c r="I135" s="2">
        <f t="shared" ref="I135:M135" si="23">(A135-A$151)^2</f>
        <v>2864274.174</v>
      </c>
      <c r="J135" s="2">
        <f t="shared" si="23"/>
        <v>1751652.25</v>
      </c>
      <c r="K135" s="2">
        <f t="shared" si="23"/>
        <v>2070001.563</v>
      </c>
      <c r="L135" s="2">
        <f t="shared" si="23"/>
        <v>24964</v>
      </c>
      <c r="M135" s="2">
        <f t="shared" si="23"/>
        <v>875160.25</v>
      </c>
    </row>
    <row r="136">
      <c r="A136" s="1">
        <v>1097.0</v>
      </c>
      <c r="B136" s="1">
        <v>4760.0</v>
      </c>
      <c r="C136" s="1">
        <v>8603.0</v>
      </c>
      <c r="D136" s="1">
        <v>14407.0</v>
      </c>
      <c r="E136" s="1">
        <v>19633.0</v>
      </c>
      <c r="I136" s="2">
        <f t="shared" ref="I136:M136" si="24">(A136-A$151)^2</f>
        <v>1913841.674</v>
      </c>
      <c r="J136" s="2">
        <f t="shared" si="24"/>
        <v>1443602.25</v>
      </c>
      <c r="K136" s="2">
        <f t="shared" si="24"/>
        <v>1843485.063</v>
      </c>
      <c r="L136" s="2">
        <f t="shared" si="24"/>
        <v>24964</v>
      </c>
      <c r="M136" s="2">
        <f t="shared" si="24"/>
        <v>875160.25</v>
      </c>
    </row>
    <row r="137">
      <c r="A137" s="1">
        <v>1343.0</v>
      </c>
      <c r="B137" s="1">
        <v>4868.0</v>
      </c>
      <c r="C137" s="1">
        <v>8818.0</v>
      </c>
      <c r="D137" s="16"/>
      <c r="E137" s="14"/>
      <c r="I137" s="2">
        <f t="shared" ref="I137:K137" si="25">(A137-A$151)^2</f>
        <v>1293716.674</v>
      </c>
      <c r="J137" s="2">
        <f t="shared" si="25"/>
        <v>1195742.25</v>
      </c>
      <c r="K137" s="2">
        <f t="shared" si="25"/>
        <v>1305877.563</v>
      </c>
    </row>
    <row r="138">
      <c r="A138" s="1">
        <v>1576.0</v>
      </c>
      <c r="B138" s="1">
        <v>5055.0</v>
      </c>
      <c r="C138" s="1">
        <v>8898.0</v>
      </c>
      <c r="D138" s="14"/>
      <c r="E138" s="14"/>
      <c r="I138" s="2">
        <f t="shared" ref="I138:K138" si="26">(A138-A$151)^2</f>
        <v>817969.5069</v>
      </c>
      <c r="J138" s="2">
        <f t="shared" si="26"/>
        <v>821742.25</v>
      </c>
      <c r="K138" s="2">
        <f t="shared" si="26"/>
        <v>1129437.563</v>
      </c>
    </row>
    <row r="139">
      <c r="A139" s="1">
        <v>2189.0</v>
      </c>
      <c r="B139" s="1">
        <v>5251.0</v>
      </c>
      <c r="C139" s="1">
        <v>9194.0</v>
      </c>
      <c r="D139" s="14"/>
      <c r="E139" s="14"/>
      <c r="I139" s="2">
        <f t="shared" ref="I139:K139" si="27">(A139-A$151)^2</f>
        <v>84923.67361</v>
      </c>
      <c r="J139" s="2">
        <f t="shared" si="27"/>
        <v>504810.25</v>
      </c>
      <c r="K139" s="2">
        <f t="shared" si="27"/>
        <v>587905.5625</v>
      </c>
    </row>
    <row r="140">
      <c r="A140" s="1">
        <v>2345.0</v>
      </c>
      <c r="B140" s="1">
        <v>5308.0</v>
      </c>
      <c r="C140" s="1">
        <v>9197.0</v>
      </c>
      <c r="D140" s="14"/>
      <c r="E140" s="14"/>
      <c r="I140" s="2">
        <f t="shared" ref="I140:K140" si="28">(A140-A$151)^2</f>
        <v>18337.67361</v>
      </c>
      <c r="J140" s="2">
        <f t="shared" si="28"/>
        <v>427062.25</v>
      </c>
      <c r="K140" s="2">
        <f t="shared" si="28"/>
        <v>583314.0625</v>
      </c>
    </row>
    <row r="141">
      <c r="A141" s="1">
        <v>2351.0</v>
      </c>
      <c r="B141" s="1">
        <v>6054.0</v>
      </c>
      <c r="C141" s="1">
        <v>10337.0</v>
      </c>
      <c r="D141" s="14"/>
      <c r="E141" s="14"/>
      <c r="I141" s="2">
        <f t="shared" ref="I141:K141" si="29">(A141-A$151)^2</f>
        <v>16748.67361</v>
      </c>
      <c r="J141" s="2">
        <f t="shared" si="29"/>
        <v>8556.25</v>
      </c>
      <c r="K141" s="2">
        <f t="shared" si="29"/>
        <v>141564.0625</v>
      </c>
    </row>
    <row r="142">
      <c r="A142" s="1">
        <v>3190.0</v>
      </c>
      <c r="B142" s="1">
        <v>6383.0</v>
      </c>
      <c r="C142" s="1">
        <v>10496.0</v>
      </c>
      <c r="D142" s="14"/>
      <c r="E142" s="14"/>
      <c r="I142" s="2">
        <f t="shared" ref="I142:K142" si="30">(A142-A$151)^2</f>
        <v>503508.5069</v>
      </c>
      <c r="J142" s="2">
        <f t="shared" si="30"/>
        <v>177662.25</v>
      </c>
      <c r="K142" s="2">
        <f t="shared" si="30"/>
        <v>286492.5625</v>
      </c>
    </row>
    <row r="143">
      <c r="A143" s="1">
        <v>3372.0</v>
      </c>
      <c r="B143" s="1">
        <v>6589.0</v>
      </c>
      <c r="C143" s="1">
        <v>10712.0</v>
      </c>
      <c r="D143" s="14"/>
      <c r="E143" s="14"/>
      <c r="I143" s="2">
        <f t="shared" ref="I143:K143" si="31">(A143-A$151)^2</f>
        <v>794920.8403</v>
      </c>
      <c r="J143" s="2">
        <f t="shared" si="31"/>
        <v>393756.25</v>
      </c>
      <c r="K143" s="2">
        <f t="shared" si="31"/>
        <v>564376.5625</v>
      </c>
    </row>
    <row r="144">
      <c r="A144" s="1">
        <v>3541.0</v>
      </c>
      <c r="B144" s="1">
        <v>7114.0</v>
      </c>
      <c r="C144" s="1">
        <v>11467.0</v>
      </c>
      <c r="D144" s="14"/>
      <c r="E144" s="14"/>
      <c r="I144" s="2">
        <f t="shared" ref="I144:K144" si="32">(A144-A$151)^2</f>
        <v>1124837.007</v>
      </c>
      <c r="J144" s="2">
        <f t="shared" si="32"/>
        <v>1328256.25</v>
      </c>
      <c r="K144" s="2">
        <f t="shared" si="32"/>
        <v>2268789.063</v>
      </c>
    </row>
    <row r="145">
      <c r="A145" s="1">
        <v>3724.0</v>
      </c>
      <c r="B145" s="1">
        <v>7194.0</v>
      </c>
      <c r="C145" s="1">
        <v>11526.0</v>
      </c>
      <c r="D145" s="14"/>
      <c r="E145" s="14"/>
      <c r="I145" s="2">
        <f t="shared" ref="I145:K145" si="33">(A145-A$151)^2</f>
        <v>1546499.507</v>
      </c>
      <c r="J145" s="2">
        <f t="shared" si="33"/>
        <v>1519056.25</v>
      </c>
      <c r="K145" s="2">
        <f t="shared" si="33"/>
        <v>2450007.563</v>
      </c>
    </row>
    <row r="146">
      <c r="A146" s="1">
        <v>4249.0</v>
      </c>
      <c r="B146" s="1">
        <v>8324.0</v>
      </c>
      <c r="C146" s="1">
        <v>11759.0</v>
      </c>
      <c r="D146" s="14"/>
      <c r="E146" s="14"/>
      <c r="F146" s="1" t="s">
        <v>37</v>
      </c>
      <c r="I146" s="2">
        <f t="shared" ref="I146:K146" si="34">(A146-A$151)^2</f>
        <v>3127887.007</v>
      </c>
      <c r="J146" s="2">
        <f t="shared" si="34"/>
        <v>5581406.25</v>
      </c>
      <c r="K146" s="2">
        <f t="shared" si="34"/>
        <v>3233703.063</v>
      </c>
    </row>
    <row r="147">
      <c r="A147" s="16"/>
      <c r="B147" s="14"/>
      <c r="C147" s="14"/>
      <c r="D147" s="14"/>
      <c r="E147" s="14"/>
      <c r="F147" s="2">
        <f>SUM(A135:E147)/COUNT(A135:E147)</f>
        <v>7168.125</v>
      </c>
    </row>
    <row r="148">
      <c r="A148" s="2">
        <f t="shared" ref="A148:E148" si="35">SUM(A135:A147)</f>
        <v>29765</v>
      </c>
      <c r="B148" s="2">
        <f t="shared" si="35"/>
        <v>71538</v>
      </c>
      <c r="C148" s="2">
        <f t="shared" si="35"/>
        <v>119529</v>
      </c>
      <c r="D148" s="2">
        <f t="shared" si="35"/>
        <v>28498</v>
      </c>
      <c r="E148" s="2">
        <f t="shared" si="35"/>
        <v>37395</v>
      </c>
    </row>
    <row r="150">
      <c r="A150" s="1" t="s">
        <v>38</v>
      </c>
    </row>
    <row r="151">
      <c r="A151" s="2">
        <f t="shared" ref="A151:E151" si="36">A148/COUNT(A135:A147)</f>
        <v>2480.416667</v>
      </c>
      <c r="B151" s="2">
        <f t="shared" si="36"/>
        <v>5961.5</v>
      </c>
      <c r="C151" s="2">
        <f t="shared" si="36"/>
        <v>9960.75</v>
      </c>
      <c r="D151" s="2">
        <f t="shared" si="36"/>
        <v>14249</v>
      </c>
      <c r="E151" s="2">
        <f t="shared" si="36"/>
        <v>18697.5</v>
      </c>
    </row>
    <row r="153">
      <c r="A153" s="1" t="s">
        <v>39</v>
      </c>
    </row>
    <row r="154">
      <c r="A154" s="2">
        <f t="shared" ref="A154:E154" si="37">SUM(I135:I147)/COUNT(A135:A147)</f>
        <v>1175622.076</v>
      </c>
      <c r="B154" s="2">
        <f t="shared" si="37"/>
        <v>1262775.417</v>
      </c>
      <c r="C154" s="2">
        <f t="shared" si="37"/>
        <v>1372079.521</v>
      </c>
      <c r="D154" s="2">
        <f t="shared" si="37"/>
        <v>24964</v>
      </c>
      <c r="E154" s="2">
        <f t="shared" si="37"/>
        <v>875160.25</v>
      </c>
    </row>
    <row r="156">
      <c r="A156" s="1" t="s">
        <v>40</v>
      </c>
    </row>
    <row r="157">
      <c r="A157" s="2">
        <f>SUM(I135:M147)/COUNT(A135:E147)</f>
        <v>1188149.317</v>
      </c>
    </row>
    <row r="159">
      <c r="A159" s="1" t="s">
        <v>41</v>
      </c>
    </row>
    <row r="160">
      <c r="A160" s="2">
        <f t="shared" ref="A160:E160" si="38">(((A151-$F$147)^2)*COUNT(A135:A147))</f>
        <v>263695313</v>
      </c>
      <c r="B160" s="2">
        <f t="shared" si="38"/>
        <v>17471326.69</v>
      </c>
      <c r="C160" s="2">
        <f t="shared" si="38"/>
        <v>93585052.69</v>
      </c>
      <c r="D160" s="2">
        <f t="shared" si="38"/>
        <v>100277581.5</v>
      </c>
      <c r="E160" s="2">
        <f t="shared" si="38"/>
        <v>265852975.8</v>
      </c>
    </row>
    <row r="161">
      <c r="A161" s="1" t="s">
        <v>42</v>
      </c>
    </row>
    <row r="162">
      <c r="A162" s="2">
        <f>SUM(A160:E160)/COUNT(A135:E147)</f>
        <v>18522056.24</v>
      </c>
    </row>
    <row r="163">
      <c r="A163" s="17" t="s">
        <v>46</v>
      </c>
    </row>
    <row r="164">
      <c r="A164" s="18">
        <f>A162/C45 * 100</f>
        <v>93.97190804</v>
      </c>
    </row>
    <row r="166">
      <c r="A166" s="1" t="s">
        <v>44</v>
      </c>
    </row>
    <row r="167">
      <c r="A167" s="2">
        <f>SUM(A162+A157)</f>
        <v>19710205.56</v>
      </c>
      <c r="B167" s="2" t="b">
        <f>A167=$C$45</f>
        <v>1</v>
      </c>
    </row>
    <row r="170">
      <c r="A170" s="1" t="s">
        <v>47</v>
      </c>
    </row>
    <row r="172">
      <c r="A172" s="1" t="s">
        <v>27</v>
      </c>
    </row>
    <row r="173">
      <c r="A173" s="2">
        <f>F50/7</f>
        <v>2692.142857</v>
      </c>
    </row>
    <row r="175">
      <c r="A175" s="8" t="s">
        <v>19</v>
      </c>
      <c r="B175" s="9"/>
      <c r="C175" s="3" t="s">
        <v>20</v>
      </c>
    </row>
    <row r="176">
      <c r="A176" s="4">
        <f>$E$50</f>
        <v>788</v>
      </c>
      <c r="B176" s="4">
        <f>$E$50+$A$173 * 1</f>
        <v>3480.142857</v>
      </c>
      <c r="C176" s="4">
        <f>COUNT(A186:A194)</f>
        <v>8</v>
      </c>
    </row>
    <row r="177">
      <c r="A177" s="4">
        <f>$E$50+$A$173 * 1</f>
        <v>3480.142857</v>
      </c>
      <c r="B177" s="4">
        <f>$E$50+$A$173 * 2</f>
        <v>6172.285714</v>
      </c>
      <c r="C177" s="4">
        <f>COUNT(B186:B194)</f>
        <v>9</v>
      </c>
    </row>
    <row r="178">
      <c r="A178" s="4">
        <f>$E$50+$A$173 * 2</f>
        <v>6172.285714</v>
      </c>
      <c r="B178" s="4">
        <f>$E$50+$A$173 * 3</f>
        <v>8864.428571</v>
      </c>
      <c r="C178" s="4">
        <f>COUNT(C186:C194)</f>
        <v>7</v>
      </c>
    </row>
    <row r="179">
      <c r="A179" s="4">
        <f>$E$50+$A$173 * 3</f>
        <v>8864.428571</v>
      </c>
      <c r="B179" s="4">
        <f>$E$50+$A$173 * 4</f>
        <v>11556.57143</v>
      </c>
      <c r="C179" s="4">
        <f>COUNT(D186:D194)</f>
        <v>7</v>
      </c>
    </row>
    <row r="180">
      <c r="A180" s="4">
        <f>$E$50+$A$173 * 4</f>
        <v>11556.57143</v>
      </c>
      <c r="B180" s="4">
        <f>$E$50+$A$173 * 5</f>
        <v>14248.71429</v>
      </c>
      <c r="C180" s="4">
        <f>COUNT(E186:E194)</f>
        <v>1</v>
      </c>
    </row>
    <row r="181">
      <c r="A181" s="4">
        <f>$E$50+$A$173 * 5</f>
        <v>14248.71429</v>
      </c>
      <c r="B181" s="4">
        <f>$E$50+$A$173 * 6</f>
        <v>16940.85714</v>
      </c>
      <c r="C181" s="4">
        <f>COUNT(F186:F194)</f>
        <v>0</v>
      </c>
    </row>
    <row r="182">
      <c r="A182" s="4">
        <f>$E$50+$A$173 * 6</f>
        <v>16940.85714</v>
      </c>
      <c r="B182" s="4">
        <f>$E$50+$A$173 * 7</f>
        <v>19633</v>
      </c>
      <c r="C182" s="4">
        <f>COUNT(G186:G194)</f>
        <v>1</v>
      </c>
    </row>
    <row r="185">
      <c r="A185" s="1">
        <v>788.0</v>
      </c>
      <c r="B185" s="1">
        <v>3541.0</v>
      </c>
      <c r="C185" s="1">
        <v>6383.0</v>
      </c>
      <c r="D185" s="1">
        <v>8898.0</v>
      </c>
      <c r="E185" s="1">
        <v>11759.0</v>
      </c>
      <c r="F185" s="1">
        <v>14407.0</v>
      </c>
      <c r="G185" s="1">
        <v>17762.0</v>
      </c>
      <c r="K185" s="2">
        <f t="shared" ref="K185:Q185" si="39">(A$198-A185)^2</f>
        <v>1537324.457</v>
      </c>
      <c r="L185" s="2">
        <f t="shared" si="39"/>
        <v>1449134.44</v>
      </c>
      <c r="M185" s="2">
        <f t="shared" si="39"/>
        <v>1717082.641</v>
      </c>
      <c r="N185" s="2">
        <f t="shared" si="39"/>
        <v>1769897.641</v>
      </c>
      <c r="O185" s="2">
        <f t="shared" si="39"/>
        <v>1359556</v>
      </c>
      <c r="P185" s="2">
        <f t="shared" si="39"/>
        <v>0</v>
      </c>
      <c r="Q185" s="2">
        <f t="shared" si="39"/>
        <v>875160.25</v>
      </c>
    </row>
    <row r="186">
      <c r="A186" s="1">
        <v>1097.0</v>
      </c>
      <c r="B186" s="1">
        <v>3724.0</v>
      </c>
      <c r="C186" s="1">
        <v>6589.0</v>
      </c>
      <c r="D186" s="1">
        <v>9194.0</v>
      </c>
      <c r="E186" s="1">
        <v>14091.0</v>
      </c>
      <c r="F186" s="3"/>
      <c r="G186" s="1">
        <v>19633.0</v>
      </c>
      <c r="K186" s="2">
        <f t="shared" ref="K186:O186" si="40">(A$198-A186)^2</f>
        <v>866554.1235</v>
      </c>
      <c r="L186" s="2">
        <f t="shared" si="40"/>
        <v>1042032.64</v>
      </c>
      <c r="M186" s="2">
        <f t="shared" si="40"/>
        <v>1219644.141</v>
      </c>
      <c r="N186" s="2">
        <f t="shared" si="40"/>
        <v>1069931.641</v>
      </c>
      <c r="O186" s="2">
        <f t="shared" si="40"/>
        <v>1359556</v>
      </c>
      <c r="Q186" s="2">
        <f>(G$198-G186)^2</f>
        <v>875160.25</v>
      </c>
    </row>
    <row r="187">
      <c r="A187" s="1">
        <v>1343.0</v>
      </c>
      <c r="B187" s="1">
        <v>4249.0</v>
      </c>
      <c r="C187" s="1">
        <v>7114.0</v>
      </c>
      <c r="D187" s="1">
        <v>9197.0</v>
      </c>
      <c r="E187" s="3"/>
      <c r="F187" s="16"/>
      <c r="G187" s="3"/>
      <c r="K187" s="2">
        <f t="shared" ref="K187:N187" si="41">(A$198-A187)^2</f>
        <v>469072.7901</v>
      </c>
      <c r="L187" s="2">
        <f t="shared" si="41"/>
        <v>245817.64</v>
      </c>
      <c r="M187" s="2">
        <f t="shared" si="41"/>
        <v>335675.3906</v>
      </c>
      <c r="N187" s="2">
        <f t="shared" si="41"/>
        <v>1063734.391</v>
      </c>
    </row>
    <row r="188">
      <c r="A188" s="1">
        <v>1576.0</v>
      </c>
      <c r="B188" s="1">
        <v>4638.0</v>
      </c>
      <c r="C188" s="1">
        <v>7194.0</v>
      </c>
      <c r="D188" s="1">
        <v>10337.0</v>
      </c>
      <c r="E188" s="4"/>
      <c r="F188" s="14"/>
      <c r="G188" s="14"/>
      <c r="K188" s="2">
        <f t="shared" ref="K188:N188" si="42">(A$198-A188)^2</f>
        <v>204203.5679</v>
      </c>
      <c r="L188" s="2">
        <f t="shared" si="42"/>
        <v>11406.24</v>
      </c>
      <c r="M188" s="2">
        <f t="shared" si="42"/>
        <v>249375.3906</v>
      </c>
      <c r="N188" s="2">
        <f t="shared" si="42"/>
        <v>11799.39063</v>
      </c>
    </row>
    <row r="189">
      <c r="A189" s="1">
        <v>2189.0</v>
      </c>
      <c r="B189" s="1">
        <v>4760.0</v>
      </c>
      <c r="C189" s="1">
        <v>8324.0</v>
      </c>
      <c r="D189" s="1">
        <v>10496.0</v>
      </c>
      <c r="E189" s="14"/>
      <c r="F189" s="14"/>
      <c r="G189" s="14"/>
      <c r="K189" s="2">
        <f t="shared" ref="K189:N189" si="43">(A$198-A189)^2</f>
        <v>25956.79012</v>
      </c>
      <c r="L189" s="2">
        <f t="shared" si="43"/>
        <v>231.04</v>
      </c>
      <c r="M189" s="2">
        <f t="shared" si="43"/>
        <v>397687.8906</v>
      </c>
      <c r="N189" s="2">
        <f t="shared" si="43"/>
        <v>71623.14063</v>
      </c>
    </row>
    <row r="190">
      <c r="A190" s="1">
        <v>2345.0</v>
      </c>
      <c r="B190" s="1">
        <v>4868.0</v>
      </c>
      <c r="C190" s="1">
        <v>8522.0</v>
      </c>
      <c r="D190" s="1">
        <v>10712.0</v>
      </c>
      <c r="E190" s="14"/>
      <c r="F190" s="14"/>
      <c r="G190" s="14"/>
      <c r="K190" s="2">
        <f t="shared" ref="K190:N190" si="44">(A$198-A190)^2</f>
        <v>100559.4568</v>
      </c>
      <c r="L190" s="2">
        <f t="shared" si="44"/>
        <v>15178.24</v>
      </c>
      <c r="M190" s="2">
        <f t="shared" si="44"/>
        <v>686619.3906</v>
      </c>
      <c r="N190" s="2">
        <f t="shared" si="44"/>
        <v>233893.1406</v>
      </c>
    </row>
    <row r="191">
      <c r="A191" s="1">
        <v>2351.0</v>
      </c>
      <c r="B191" s="1">
        <v>5055.0</v>
      </c>
      <c r="C191" s="1">
        <v>8603.0</v>
      </c>
      <c r="D191" s="1">
        <v>11467.0</v>
      </c>
      <c r="E191" s="14"/>
      <c r="F191" s="14"/>
      <c r="G191" s="14"/>
      <c r="K191" s="2">
        <f t="shared" ref="K191:N191" si="45">(A$198-A191)^2</f>
        <v>104400.7901</v>
      </c>
      <c r="L191" s="2">
        <f t="shared" si="45"/>
        <v>96224.04</v>
      </c>
      <c r="M191" s="2">
        <f t="shared" si="45"/>
        <v>827417.6406</v>
      </c>
      <c r="N191" s="2">
        <f t="shared" si="45"/>
        <v>1534191.891</v>
      </c>
    </row>
    <row r="192">
      <c r="A192" s="1">
        <v>3190.0</v>
      </c>
      <c r="B192" s="1">
        <v>5251.0</v>
      </c>
      <c r="C192" s="1">
        <v>8818.0</v>
      </c>
      <c r="D192" s="1">
        <v>11526.0</v>
      </c>
      <c r="E192" s="14"/>
      <c r="F192" s="14"/>
      <c r="G192" s="14"/>
      <c r="K192" s="2">
        <f t="shared" ref="K192:N192" si="46">(A$198-A192)^2</f>
        <v>1350502.235</v>
      </c>
      <c r="L192" s="2">
        <f t="shared" si="46"/>
        <v>256238.44</v>
      </c>
      <c r="M192" s="2">
        <f t="shared" si="46"/>
        <v>1264781.391</v>
      </c>
      <c r="N192" s="2">
        <f t="shared" si="46"/>
        <v>1683830.641</v>
      </c>
    </row>
    <row r="193">
      <c r="A193" s="1">
        <v>3372.0</v>
      </c>
      <c r="B193" s="1">
        <v>5308.0</v>
      </c>
      <c r="C193" s="3"/>
      <c r="D193" s="3"/>
      <c r="E193" s="14"/>
      <c r="F193" s="14"/>
      <c r="G193" s="14"/>
      <c r="H193" s="1" t="s">
        <v>37</v>
      </c>
      <c r="K193" s="2">
        <f t="shared" ref="K193:L193" si="47">(A$198-A193)^2</f>
        <v>1806634.679</v>
      </c>
      <c r="L193" s="2">
        <f t="shared" si="47"/>
        <v>317194.24</v>
      </c>
    </row>
    <row r="194">
      <c r="A194" s="3"/>
      <c r="B194" s="1">
        <v>6054.0</v>
      </c>
      <c r="C194" s="14"/>
      <c r="D194" s="14"/>
      <c r="E194" s="14"/>
      <c r="F194" s="14"/>
      <c r="G194" s="14"/>
      <c r="H194" s="2">
        <f>SUM(A185:G195)/COUNT(A185:G195)</f>
        <v>7168.125</v>
      </c>
      <c r="L194" s="2">
        <f>(B$198-B194)^2</f>
        <v>1714004.64</v>
      </c>
    </row>
    <row r="195">
      <c r="A195" s="4"/>
      <c r="B195" s="3"/>
      <c r="C195" s="4"/>
      <c r="D195" s="4"/>
      <c r="E195" s="4"/>
      <c r="F195" s="4"/>
      <c r="G195" s="4"/>
    </row>
    <row r="196">
      <c r="A196" s="2">
        <f t="shared" ref="A196:G196" si="48">SUM(A185:A195)</f>
        <v>18251</v>
      </c>
      <c r="B196" s="2">
        <f t="shared" si="48"/>
        <v>47448</v>
      </c>
      <c r="C196" s="2">
        <f t="shared" si="48"/>
        <v>61547</v>
      </c>
      <c r="D196" s="2">
        <f t="shared" si="48"/>
        <v>81827</v>
      </c>
      <c r="E196" s="2">
        <f t="shared" si="48"/>
        <v>25850</v>
      </c>
      <c r="F196" s="2">
        <f t="shared" si="48"/>
        <v>14407</v>
      </c>
      <c r="G196" s="2">
        <f t="shared" si="48"/>
        <v>37395</v>
      </c>
    </row>
    <row r="197">
      <c r="A197" s="1" t="s">
        <v>38</v>
      </c>
    </row>
    <row r="198">
      <c r="A198" s="2">
        <f t="shared" ref="A198:G198" si="49">A196/COUNT(A185:A195)</f>
        <v>2027.888889</v>
      </c>
      <c r="B198" s="2">
        <f t="shared" si="49"/>
        <v>4744.8</v>
      </c>
      <c r="C198" s="2">
        <f t="shared" si="49"/>
        <v>7693.375</v>
      </c>
      <c r="D198" s="2">
        <f t="shared" si="49"/>
        <v>10228.375</v>
      </c>
      <c r="E198" s="2">
        <f t="shared" si="49"/>
        <v>12925</v>
      </c>
      <c r="F198" s="2">
        <f t="shared" si="49"/>
        <v>14407</v>
      </c>
      <c r="G198" s="2">
        <f t="shared" si="49"/>
        <v>18697.5</v>
      </c>
    </row>
    <row r="200">
      <c r="A200" s="1" t="s">
        <v>39</v>
      </c>
    </row>
    <row r="201">
      <c r="A201" s="2">
        <f t="shared" ref="A201:G201" si="50">SUM(K185:K195)/COUNT(A185:A195)</f>
        <v>718356.5432</v>
      </c>
      <c r="B201" s="2">
        <f t="shared" si="50"/>
        <v>514746.16</v>
      </c>
      <c r="C201" s="2">
        <f t="shared" si="50"/>
        <v>837285.4844</v>
      </c>
      <c r="D201" s="2">
        <f t="shared" si="50"/>
        <v>929862.7344</v>
      </c>
      <c r="E201" s="2">
        <f t="shared" si="50"/>
        <v>1359556</v>
      </c>
      <c r="F201" s="2">
        <f t="shared" si="50"/>
        <v>0</v>
      </c>
      <c r="G201" s="2">
        <f t="shared" si="50"/>
        <v>875160.25</v>
      </c>
    </row>
    <row r="203">
      <c r="A203" s="1" t="s">
        <v>40</v>
      </c>
    </row>
    <row r="204">
      <c r="A204" s="2">
        <f>SUM(K185:Q195)/COUNT(A185:G195)</f>
        <v>755482.2185</v>
      </c>
    </row>
    <row r="206">
      <c r="A206" s="1" t="s">
        <v>41</v>
      </c>
    </row>
    <row r="207">
      <c r="A207" s="2">
        <f t="shared" ref="A207:G207" si="51">(((A198-$H$194)^2)*COUNT(A185:A195))</f>
        <v>237798245.5</v>
      </c>
      <c r="B207" s="2">
        <f t="shared" si="51"/>
        <v>58725040.56</v>
      </c>
      <c r="C207" s="2">
        <f t="shared" si="51"/>
        <v>2207100.5</v>
      </c>
      <c r="D207" s="2">
        <f t="shared" si="51"/>
        <v>74921040.5</v>
      </c>
      <c r="E207" s="2">
        <f t="shared" si="51"/>
        <v>66283219.53</v>
      </c>
      <c r="F207" s="2">
        <f t="shared" si="51"/>
        <v>52401311.27</v>
      </c>
      <c r="G207" s="2">
        <f t="shared" si="51"/>
        <v>265852975.8</v>
      </c>
    </row>
    <row r="208">
      <c r="A208" s="1" t="s">
        <v>42</v>
      </c>
    </row>
    <row r="209">
      <c r="A209" s="2">
        <f>SUM(A207:G207)/COUNT(A185:G195)</f>
        <v>18954723.34</v>
      </c>
    </row>
    <row r="210">
      <c r="A210" s="17" t="s">
        <v>43</v>
      </c>
    </row>
    <row r="211">
      <c r="A211" s="18">
        <f>A209/C45 * 100</f>
        <v>96.16705054</v>
      </c>
      <c r="B211" s="1" t="s">
        <v>48</v>
      </c>
    </row>
    <row r="213">
      <c r="A213" s="1" t="s">
        <v>44</v>
      </c>
    </row>
    <row r="214">
      <c r="A214" s="2">
        <f>SUM(A209+A204)</f>
        <v>19710205.56</v>
      </c>
      <c r="B214" s="2" t="b">
        <f>A214=$C$45</f>
        <v>1</v>
      </c>
    </row>
  </sheetData>
  <mergeCells count="4">
    <mergeCell ref="H44:I44"/>
    <mergeCell ref="M44:N44"/>
    <mergeCell ref="A127:B127"/>
    <mergeCell ref="A175:B175"/>
  </mergeCells>
  <hyperlinks>
    <hyperlink r:id="rId1" ref="N21"/>
    <hyperlink r:id="rId2" ref="A88"/>
  </hyperlinks>
  <drawing r:id="rId3"/>
</worksheet>
</file>