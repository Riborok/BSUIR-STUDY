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<sst xmlns="http://schemas.openxmlformats.org/spreadsheetml/2006/main" count="26" uniqueCount="24">
  <si>
    <t>Студент</t>
  </si>
  <si>
    <t>Дисп. 1</t>
  </si>
  <si>
    <t>Дисп. 2</t>
  </si>
  <si>
    <t>Ранги х1</t>
  </si>
  <si>
    <t>Ранги х2</t>
  </si>
  <si>
    <t>Разность</t>
  </si>
  <si>
    <t>1. Спирмен</t>
  </si>
  <si>
    <t>rs=</t>
  </si>
  <si>
    <t>коэффициент практически равен нулю, связь между оценками по двум дисциплинам отсутствует</t>
  </si>
  <si>
    <t>2. Кендалл</t>
  </si>
  <si>
    <t>P=</t>
  </si>
  <si>
    <t>количество согласованных пар наблюдений</t>
  </si>
  <si>
    <t>Q=</t>
  </si>
  <si>
    <t>количество несогласованных пар</t>
  </si>
  <si>
    <t>Z=</t>
  </si>
  <si>
    <t>T=</t>
  </si>
  <si>
    <t>3. Проверить значимость коэффициента ранговой корреляции Спирмена.</t>
  </si>
  <si>
    <t>tнабл=</t>
  </si>
  <si>
    <t>tкрит=</t>
  </si>
  <si>
    <t>Корреляция не значима</t>
  </si>
  <si>
    <t>4. Проверить значимость коэффициента ранговой корреляции Кендалла.</t>
  </si>
  <si>
    <t>https://math.semestr.ru/corel/kendel.php</t>
  </si>
  <si>
    <t>zкр =</t>
  </si>
  <si>
    <t>Tкр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</si>
</sst>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&quot;Times New Roman&quot;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0" fillId="0" fontId="2" numFmtId="0" xfId="0" applyFont="1"/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/>
    </xf>
    <xf borderId="1" fillId="0" fontId="2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0</xdr:rowOff>
    </xdr:from>
    <xdr:ext cx="981075" cy="6572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1628775" cy="561975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161925</xdr:rowOff>
    </xdr:from>
    <xdr:ext cx="9001125" cy="2876550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th.semestr.ru/corel/kendel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88"/>
    <col customWidth="1" min="8" max="53" width="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3">
        <v>32.0</v>
      </c>
      <c r="AO1" s="3">
        <v>33.0</v>
      </c>
      <c r="AP1" s="3">
        <v>34.0</v>
      </c>
      <c r="AQ1" s="3">
        <v>35.0</v>
      </c>
      <c r="AR1" s="3">
        <v>36.0</v>
      </c>
      <c r="AS1" s="3">
        <v>37.0</v>
      </c>
      <c r="AT1" s="3">
        <v>38.0</v>
      </c>
      <c r="AU1" s="3">
        <v>39.0</v>
      </c>
      <c r="AV1" s="3">
        <v>40.0</v>
      </c>
      <c r="AW1" s="3">
        <v>41.0</v>
      </c>
      <c r="AX1" s="3">
        <v>42.0</v>
      </c>
      <c r="AY1" s="3">
        <v>43.0</v>
      </c>
      <c r="AZ1" s="3">
        <v>44.0</v>
      </c>
      <c r="BA1" s="3">
        <v>45.0</v>
      </c>
    </row>
    <row r="2">
      <c r="A2" s="1">
        <v>1.0</v>
      </c>
      <c r="B2" s="4">
        <v>100.0</v>
      </c>
      <c r="C2" s="4">
        <v>52.0</v>
      </c>
      <c r="D2" s="5">
        <f t="shared" ref="D2:D46" si="1">RANK(B2, $B$2:$B$46, 1)</f>
        <v>44</v>
      </c>
      <c r="E2" s="5">
        <f t="shared" ref="E2:E46" si="2">RANK(C2, $C$2:$C$46, 1)</f>
        <v>5</v>
      </c>
      <c r="F2" s="5">
        <f t="shared" ref="F2:F46" si="3">D2-E2</f>
        <v>39</v>
      </c>
      <c r="H2" s="3">
        <v>1.0</v>
      </c>
      <c r="I2" s="6">
        <f t="shared" ref="I2:I46" si="4">SIGN(($B$2-$B2)*($C$2-$C2))</f>
        <v>0</v>
      </c>
    </row>
    <row r="3">
      <c r="A3" s="1">
        <v>2.0</v>
      </c>
      <c r="B3" s="4">
        <v>76.0</v>
      </c>
      <c r="C3" s="4">
        <v>53.0</v>
      </c>
      <c r="D3" s="5">
        <f t="shared" si="1"/>
        <v>25</v>
      </c>
      <c r="E3" s="5">
        <f t="shared" si="2"/>
        <v>9</v>
      </c>
      <c r="F3" s="5">
        <f t="shared" si="3"/>
        <v>16</v>
      </c>
      <c r="H3" s="3">
        <v>2.0</v>
      </c>
      <c r="I3" s="6">
        <f t="shared" si="4"/>
        <v>-1</v>
      </c>
      <c r="J3" s="6">
        <f t="shared" ref="J3:J46" si="5">SIGN(($B$3-$B3)*($C$3-$C3))</f>
        <v>0</v>
      </c>
    </row>
    <row r="4">
      <c r="A4" s="1">
        <v>3.0</v>
      </c>
      <c r="B4" s="4">
        <v>52.0</v>
      </c>
      <c r="C4" s="4">
        <v>47.0</v>
      </c>
      <c r="D4" s="5">
        <f t="shared" si="1"/>
        <v>5</v>
      </c>
      <c r="E4" s="5">
        <f t="shared" si="2"/>
        <v>2</v>
      </c>
      <c r="F4" s="5">
        <f t="shared" si="3"/>
        <v>3</v>
      </c>
      <c r="H4" s="3">
        <v>3.0</v>
      </c>
      <c r="I4" s="6">
        <f t="shared" si="4"/>
        <v>1</v>
      </c>
      <c r="J4" s="6">
        <f t="shared" si="5"/>
        <v>1</v>
      </c>
      <c r="K4" s="6">
        <f t="shared" ref="K4:K46" si="6">SIGN(($B$4-$B4)*($C$4-$C4))</f>
        <v>0</v>
      </c>
    </row>
    <row r="5">
      <c r="A5" s="1">
        <v>4.0</v>
      </c>
      <c r="B5" s="4">
        <v>61.0</v>
      </c>
      <c r="C5" s="4">
        <v>97.0</v>
      </c>
      <c r="D5" s="5">
        <f t="shared" si="1"/>
        <v>12</v>
      </c>
      <c r="E5" s="5">
        <f t="shared" si="2"/>
        <v>41</v>
      </c>
      <c r="F5" s="5">
        <f t="shared" si="3"/>
        <v>-29</v>
      </c>
      <c r="H5" s="3">
        <v>4.0</v>
      </c>
      <c r="I5" s="6">
        <f t="shared" si="4"/>
        <v>-1</v>
      </c>
      <c r="J5" s="6">
        <f t="shared" si="5"/>
        <v>-1</v>
      </c>
      <c r="K5" s="6">
        <f t="shared" si="6"/>
        <v>1</v>
      </c>
      <c r="L5" s="6">
        <f t="shared" ref="L5:L46" si="7">SIGN(($B$5-$B5)*($C$5-$C5))</f>
        <v>0</v>
      </c>
    </row>
    <row r="6">
      <c r="A6" s="1">
        <v>5.0</v>
      </c>
      <c r="B6" s="4">
        <v>79.0</v>
      </c>
      <c r="C6" s="4">
        <v>52.0</v>
      </c>
      <c r="D6" s="5">
        <f t="shared" si="1"/>
        <v>30</v>
      </c>
      <c r="E6" s="5">
        <f t="shared" si="2"/>
        <v>5</v>
      </c>
      <c r="F6" s="5">
        <f t="shared" si="3"/>
        <v>25</v>
      </c>
      <c r="H6" s="3">
        <v>5.0</v>
      </c>
      <c r="I6" s="6">
        <f t="shared" si="4"/>
        <v>0</v>
      </c>
      <c r="J6" s="6">
        <f t="shared" si="5"/>
        <v>-1</v>
      </c>
      <c r="K6" s="6">
        <f t="shared" si="6"/>
        <v>1</v>
      </c>
      <c r="L6" s="6">
        <f t="shared" si="7"/>
        <v>-1</v>
      </c>
      <c r="M6" s="6">
        <f t="shared" ref="M6:M46" si="8">SIGN(($B$6-$B6)*($C$6-$C6))</f>
        <v>0</v>
      </c>
    </row>
    <row r="7">
      <c r="A7" s="1">
        <v>6.0</v>
      </c>
      <c r="B7" s="4">
        <v>53.0</v>
      </c>
      <c r="C7" s="4">
        <v>63.0</v>
      </c>
      <c r="D7" s="5">
        <f t="shared" si="1"/>
        <v>7</v>
      </c>
      <c r="E7" s="5">
        <f t="shared" si="2"/>
        <v>19</v>
      </c>
      <c r="F7" s="5">
        <f t="shared" si="3"/>
        <v>-12</v>
      </c>
      <c r="H7" s="3">
        <v>6.0</v>
      </c>
      <c r="I7" s="6">
        <f t="shared" si="4"/>
        <v>-1</v>
      </c>
      <c r="J7" s="6">
        <f t="shared" si="5"/>
        <v>-1</v>
      </c>
      <c r="K7" s="6">
        <f t="shared" si="6"/>
        <v>1</v>
      </c>
      <c r="L7" s="6">
        <f t="shared" si="7"/>
        <v>1</v>
      </c>
      <c r="M7" s="6">
        <f t="shared" si="8"/>
        <v>-1</v>
      </c>
      <c r="N7" s="6">
        <f t="shared" ref="N7:N46" si="9">SIGN(($B$7-$B7)*($C$7-$C7))</f>
        <v>0</v>
      </c>
    </row>
    <row r="8">
      <c r="A8" s="1">
        <v>7.0</v>
      </c>
      <c r="B8" s="4">
        <v>91.0</v>
      </c>
      <c r="C8" s="4">
        <v>64.0</v>
      </c>
      <c r="D8" s="5">
        <f t="shared" si="1"/>
        <v>37</v>
      </c>
      <c r="E8" s="5">
        <f t="shared" si="2"/>
        <v>21</v>
      </c>
      <c r="F8" s="5">
        <f t="shared" si="3"/>
        <v>16</v>
      </c>
      <c r="G8" s="7"/>
      <c r="H8" s="3">
        <v>7.0</v>
      </c>
      <c r="I8" s="6">
        <f t="shared" si="4"/>
        <v>-1</v>
      </c>
      <c r="J8" s="6">
        <f t="shared" si="5"/>
        <v>1</v>
      </c>
      <c r="K8" s="6">
        <f t="shared" si="6"/>
        <v>1</v>
      </c>
      <c r="L8" s="6">
        <f t="shared" si="7"/>
        <v>-1</v>
      </c>
      <c r="M8" s="6">
        <f t="shared" si="8"/>
        <v>1</v>
      </c>
      <c r="N8" s="6">
        <f t="shared" si="9"/>
        <v>1</v>
      </c>
      <c r="O8" s="6">
        <f t="shared" ref="O8:O46" si="10">SIGN(($B$8-$B8)*($C$8-$C8))</f>
        <v>0</v>
      </c>
      <c r="P8" s="7"/>
      <c r="Q8" s="7"/>
      <c r="R8" s="7"/>
      <c r="S8" s="7"/>
      <c r="T8" s="7"/>
      <c r="U8" s="7"/>
    </row>
    <row r="9">
      <c r="A9" s="1">
        <v>8.0</v>
      </c>
      <c r="B9" s="4">
        <v>97.0</v>
      </c>
      <c r="C9" s="4">
        <v>98.0</v>
      </c>
      <c r="D9" s="5">
        <f t="shared" si="1"/>
        <v>42</v>
      </c>
      <c r="E9" s="5">
        <f t="shared" si="2"/>
        <v>43</v>
      </c>
      <c r="F9" s="5">
        <f t="shared" si="3"/>
        <v>-1</v>
      </c>
      <c r="H9" s="3">
        <v>8.0</v>
      </c>
      <c r="I9" s="6">
        <f t="shared" si="4"/>
        <v>-1</v>
      </c>
      <c r="J9" s="6">
        <f t="shared" si="5"/>
        <v>1</v>
      </c>
      <c r="K9" s="6">
        <f t="shared" si="6"/>
        <v>1</v>
      </c>
      <c r="L9" s="6">
        <f t="shared" si="7"/>
        <v>1</v>
      </c>
      <c r="M9" s="6">
        <f t="shared" si="8"/>
        <v>1</v>
      </c>
      <c r="N9" s="6">
        <f t="shared" si="9"/>
        <v>1</v>
      </c>
      <c r="O9" s="6">
        <f t="shared" si="10"/>
        <v>1</v>
      </c>
      <c r="P9" s="6">
        <f t="shared" ref="P9:P46" si="11">SIGN(($B$9-$B9)*($C$9-$C9))</f>
        <v>0</v>
      </c>
    </row>
    <row r="10">
      <c r="A10" s="1">
        <v>9.0</v>
      </c>
      <c r="B10" s="4">
        <v>78.0</v>
      </c>
      <c r="C10" s="4">
        <v>81.0</v>
      </c>
      <c r="D10" s="5">
        <f t="shared" si="1"/>
        <v>28</v>
      </c>
      <c r="E10" s="5">
        <f t="shared" si="2"/>
        <v>32</v>
      </c>
      <c r="F10" s="5">
        <f t="shared" si="3"/>
        <v>-4</v>
      </c>
      <c r="H10" s="3">
        <v>9.0</v>
      </c>
      <c r="I10" s="6">
        <f t="shared" si="4"/>
        <v>-1</v>
      </c>
      <c r="J10" s="6">
        <f t="shared" si="5"/>
        <v>1</v>
      </c>
      <c r="K10" s="6">
        <f t="shared" si="6"/>
        <v>1</v>
      </c>
      <c r="L10" s="6">
        <f t="shared" si="7"/>
        <v>-1</v>
      </c>
      <c r="M10" s="6">
        <f t="shared" si="8"/>
        <v>-1</v>
      </c>
      <c r="N10" s="6">
        <f t="shared" si="9"/>
        <v>1</v>
      </c>
      <c r="O10" s="6">
        <f t="shared" si="10"/>
        <v>-1</v>
      </c>
      <c r="P10" s="6">
        <f t="shared" si="11"/>
        <v>1</v>
      </c>
      <c r="Q10" s="6">
        <f t="shared" ref="Q10:Q46" si="12">SIGN(($B$10-$B10)*($C$10-$C10))</f>
        <v>0</v>
      </c>
    </row>
    <row r="11">
      <c r="A11" s="1">
        <v>10.0</v>
      </c>
      <c r="B11" s="4">
        <v>66.0</v>
      </c>
      <c r="C11" s="4">
        <v>63.0</v>
      </c>
      <c r="D11" s="5">
        <f t="shared" si="1"/>
        <v>17</v>
      </c>
      <c r="E11" s="5">
        <f t="shared" si="2"/>
        <v>19</v>
      </c>
      <c r="F11" s="5">
        <f t="shared" si="3"/>
        <v>-2</v>
      </c>
      <c r="H11" s="3">
        <v>10.0</v>
      </c>
      <c r="I11" s="6">
        <f t="shared" si="4"/>
        <v>-1</v>
      </c>
      <c r="J11" s="6">
        <f t="shared" si="5"/>
        <v>-1</v>
      </c>
      <c r="K11" s="6">
        <f t="shared" si="6"/>
        <v>1</v>
      </c>
      <c r="L11" s="6">
        <f t="shared" si="7"/>
        <v>-1</v>
      </c>
      <c r="M11" s="6">
        <f t="shared" si="8"/>
        <v>-1</v>
      </c>
      <c r="N11" s="6">
        <f t="shared" si="9"/>
        <v>0</v>
      </c>
      <c r="O11" s="6">
        <f t="shared" si="10"/>
        <v>1</v>
      </c>
      <c r="P11" s="6">
        <f t="shared" si="11"/>
        <v>1</v>
      </c>
      <c r="Q11" s="6">
        <f t="shared" si="12"/>
        <v>1</v>
      </c>
      <c r="R11" s="6">
        <f t="shared" ref="R11:R46" si="13">SIGN(($B$11-$B11)*($C$11-$C11))</f>
        <v>0</v>
      </c>
    </row>
    <row r="12">
      <c r="A12" s="1">
        <v>11.0</v>
      </c>
      <c r="B12" s="4">
        <v>68.0</v>
      </c>
      <c r="C12" s="4">
        <v>59.0</v>
      </c>
      <c r="D12" s="5">
        <f t="shared" si="1"/>
        <v>18</v>
      </c>
      <c r="E12" s="5">
        <f t="shared" si="2"/>
        <v>14</v>
      </c>
      <c r="F12" s="5">
        <f t="shared" si="3"/>
        <v>4</v>
      </c>
      <c r="G12" s="7"/>
      <c r="H12" s="3">
        <v>11.0</v>
      </c>
      <c r="I12" s="6">
        <f t="shared" si="4"/>
        <v>-1</v>
      </c>
      <c r="J12" s="6">
        <f t="shared" si="5"/>
        <v>-1</v>
      </c>
      <c r="K12" s="6">
        <f t="shared" si="6"/>
        <v>1</v>
      </c>
      <c r="L12" s="6">
        <f t="shared" si="7"/>
        <v>-1</v>
      </c>
      <c r="M12" s="6">
        <f t="shared" si="8"/>
        <v>-1</v>
      </c>
      <c r="N12" s="6">
        <f t="shared" si="9"/>
        <v>-1</v>
      </c>
      <c r="O12" s="6">
        <f t="shared" si="10"/>
        <v>1</v>
      </c>
      <c r="P12" s="6">
        <f t="shared" si="11"/>
        <v>1</v>
      </c>
      <c r="Q12" s="6">
        <f t="shared" si="12"/>
        <v>1</v>
      </c>
      <c r="R12" s="6">
        <f t="shared" si="13"/>
        <v>-1</v>
      </c>
      <c r="S12" s="6">
        <f t="shared" ref="S12:S46" si="14">SIGN(($B$12-$B12)*($C$12-$C12))</f>
        <v>0</v>
      </c>
      <c r="T12" s="7"/>
      <c r="U12" s="7"/>
    </row>
    <row r="13">
      <c r="A13" s="1">
        <v>12.0</v>
      </c>
      <c r="B13" s="4">
        <v>77.0</v>
      </c>
      <c r="C13" s="4">
        <v>53.0</v>
      </c>
      <c r="D13" s="5">
        <f t="shared" si="1"/>
        <v>27</v>
      </c>
      <c r="E13" s="5">
        <f t="shared" si="2"/>
        <v>9</v>
      </c>
      <c r="F13" s="5">
        <f t="shared" si="3"/>
        <v>18</v>
      </c>
      <c r="H13" s="3">
        <v>12.0</v>
      </c>
      <c r="I13" s="6">
        <f t="shared" si="4"/>
        <v>-1</v>
      </c>
      <c r="J13" s="6">
        <f t="shared" si="5"/>
        <v>0</v>
      </c>
      <c r="K13" s="6">
        <f t="shared" si="6"/>
        <v>1</v>
      </c>
      <c r="L13" s="6">
        <f t="shared" si="7"/>
        <v>-1</v>
      </c>
      <c r="M13" s="6">
        <f t="shared" si="8"/>
        <v>-1</v>
      </c>
      <c r="N13" s="6">
        <f t="shared" si="9"/>
        <v>-1</v>
      </c>
      <c r="O13" s="6">
        <f t="shared" si="10"/>
        <v>1</v>
      </c>
      <c r="P13" s="6">
        <f t="shared" si="11"/>
        <v>1</v>
      </c>
      <c r="Q13" s="6">
        <f t="shared" si="12"/>
        <v>1</v>
      </c>
      <c r="R13" s="6">
        <f t="shared" si="13"/>
        <v>-1</v>
      </c>
      <c r="S13" s="6">
        <f t="shared" si="14"/>
        <v>-1</v>
      </c>
      <c r="T13" s="6">
        <f t="shared" ref="T13:T46" si="15">SIGN(($B$13-$B13)*($C$13-$C13))</f>
        <v>0</v>
      </c>
    </row>
    <row r="14">
      <c r="A14" s="1">
        <v>13.0</v>
      </c>
      <c r="B14" s="4">
        <v>95.0</v>
      </c>
      <c r="C14" s="4">
        <v>100.0</v>
      </c>
      <c r="D14" s="5">
        <f t="shared" si="1"/>
        <v>39</v>
      </c>
      <c r="E14" s="5">
        <f t="shared" si="2"/>
        <v>45</v>
      </c>
      <c r="F14" s="5">
        <f t="shared" si="3"/>
        <v>-6</v>
      </c>
      <c r="H14" s="3">
        <v>13.0</v>
      </c>
      <c r="I14" s="6">
        <f t="shared" si="4"/>
        <v>-1</v>
      </c>
      <c r="J14" s="6">
        <f t="shared" si="5"/>
        <v>1</v>
      </c>
      <c r="K14" s="6">
        <f t="shared" si="6"/>
        <v>1</v>
      </c>
      <c r="L14" s="6">
        <f t="shared" si="7"/>
        <v>1</v>
      </c>
      <c r="M14" s="6">
        <f t="shared" si="8"/>
        <v>1</v>
      </c>
      <c r="N14" s="6">
        <f t="shared" si="9"/>
        <v>1</v>
      </c>
      <c r="O14" s="6">
        <f t="shared" si="10"/>
        <v>1</v>
      </c>
      <c r="P14" s="6">
        <f t="shared" si="11"/>
        <v>-1</v>
      </c>
      <c r="Q14" s="6">
        <f t="shared" si="12"/>
        <v>1</v>
      </c>
      <c r="R14" s="6">
        <f t="shared" si="13"/>
        <v>1</v>
      </c>
      <c r="S14" s="6">
        <f t="shared" si="14"/>
        <v>1</v>
      </c>
      <c r="T14" s="6">
        <f t="shared" si="15"/>
        <v>1</v>
      </c>
      <c r="U14" s="6">
        <f t="shared" ref="U14:U46" si="16">SIGN(($B$14-$B14)*($C$14-$C14))</f>
        <v>0</v>
      </c>
    </row>
    <row r="15">
      <c r="A15" s="1">
        <v>14.0</v>
      </c>
      <c r="B15" s="4">
        <v>69.0</v>
      </c>
      <c r="C15" s="4">
        <v>83.0</v>
      </c>
      <c r="D15" s="5">
        <f t="shared" si="1"/>
        <v>19</v>
      </c>
      <c r="E15" s="5">
        <f t="shared" si="2"/>
        <v>34</v>
      </c>
      <c r="F15" s="5">
        <f t="shared" si="3"/>
        <v>-15</v>
      </c>
      <c r="H15" s="3">
        <v>14.0</v>
      </c>
      <c r="I15" s="6">
        <f t="shared" si="4"/>
        <v>-1</v>
      </c>
      <c r="J15" s="6">
        <f t="shared" si="5"/>
        <v>-1</v>
      </c>
      <c r="K15" s="6">
        <f t="shared" si="6"/>
        <v>1</v>
      </c>
      <c r="L15" s="6">
        <f t="shared" si="7"/>
        <v>-1</v>
      </c>
      <c r="M15" s="6">
        <f t="shared" si="8"/>
        <v>-1</v>
      </c>
      <c r="N15" s="6">
        <f t="shared" si="9"/>
        <v>1</v>
      </c>
      <c r="O15" s="6">
        <f t="shared" si="10"/>
        <v>-1</v>
      </c>
      <c r="P15" s="6">
        <f t="shared" si="11"/>
        <v>1</v>
      </c>
      <c r="Q15" s="6">
        <f t="shared" si="12"/>
        <v>-1</v>
      </c>
      <c r="R15" s="6">
        <f t="shared" si="13"/>
        <v>1</v>
      </c>
      <c r="S15" s="6">
        <f t="shared" si="14"/>
        <v>1</v>
      </c>
      <c r="T15" s="6">
        <f t="shared" si="15"/>
        <v>-1</v>
      </c>
      <c r="U15" s="6">
        <f t="shared" si="16"/>
        <v>1</v>
      </c>
      <c r="V15" s="6">
        <f t="shared" ref="V15:V46" si="17">SIGN(($B$15-$B15)*($C$15-$C15))</f>
        <v>0</v>
      </c>
    </row>
    <row r="16">
      <c r="A16" s="1">
        <v>15.0</v>
      </c>
      <c r="B16" s="4">
        <v>69.0</v>
      </c>
      <c r="C16" s="4">
        <v>96.0</v>
      </c>
      <c r="D16" s="5">
        <f t="shared" si="1"/>
        <v>19</v>
      </c>
      <c r="E16" s="5">
        <f t="shared" si="2"/>
        <v>40</v>
      </c>
      <c r="F16" s="5">
        <f t="shared" si="3"/>
        <v>-21</v>
      </c>
      <c r="H16" s="3">
        <v>15.0</v>
      </c>
      <c r="I16" s="6">
        <f t="shared" si="4"/>
        <v>-1</v>
      </c>
      <c r="J16" s="6">
        <f t="shared" si="5"/>
        <v>-1</v>
      </c>
      <c r="K16" s="6">
        <f t="shared" si="6"/>
        <v>1</v>
      </c>
      <c r="L16" s="6">
        <f t="shared" si="7"/>
        <v>-1</v>
      </c>
      <c r="M16" s="6">
        <f t="shared" si="8"/>
        <v>-1</v>
      </c>
      <c r="N16" s="6">
        <f t="shared" si="9"/>
        <v>1</v>
      </c>
      <c r="O16" s="6">
        <f t="shared" si="10"/>
        <v>-1</v>
      </c>
      <c r="P16" s="6">
        <f t="shared" si="11"/>
        <v>1</v>
      </c>
      <c r="Q16" s="6">
        <f t="shared" si="12"/>
        <v>-1</v>
      </c>
      <c r="R16" s="6">
        <f t="shared" si="13"/>
        <v>1</v>
      </c>
      <c r="S16" s="6">
        <f t="shared" si="14"/>
        <v>1</v>
      </c>
      <c r="T16" s="6">
        <f t="shared" si="15"/>
        <v>-1</v>
      </c>
      <c r="U16" s="6">
        <f t="shared" si="16"/>
        <v>1</v>
      </c>
      <c r="V16" s="6">
        <f t="shared" si="17"/>
        <v>0</v>
      </c>
      <c r="W16" s="6">
        <f t="shared" ref="W16:W46" si="18">SIGN(($B$16-$B16)*($C$16-$C16))</f>
        <v>0</v>
      </c>
    </row>
    <row r="17">
      <c r="A17" s="1">
        <v>16.0</v>
      </c>
      <c r="B17" s="4">
        <v>52.0</v>
      </c>
      <c r="C17" s="4">
        <v>62.0</v>
      </c>
      <c r="D17" s="5">
        <f t="shared" si="1"/>
        <v>5</v>
      </c>
      <c r="E17" s="5">
        <f t="shared" si="2"/>
        <v>17</v>
      </c>
      <c r="F17" s="5">
        <f t="shared" si="3"/>
        <v>-12</v>
      </c>
      <c r="H17" s="3">
        <v>16.0</v>
      </c>
      <c r="I17" s="6">
        <f t="shared" si="4"/>
        <v>-1</v>
      </c>
      <c r="J17" s="6">
        <f t="shared" si="5"/>
        <v>-1</v>
      </c>
      <c r="K17" s="6">
        <f t="shared" si="6"/>
        <v>0</v>
      </c>
      <c r="L17" s="6">
        <f t="shared" si="7"/>
        <v>1</v>
      </c>
      <c r="M17" s="6">
        <f t="shared" si="8"/>
        <v>-1</v>
      </c>
      <c r="N17" s="6">
        <f t="shared" si="9"/>
        <v>1</v>
      </c>
      <c r="O17" s="6">
        <f t="shared" si="10"/>
        <v>1</v>
      </c>
      <c r="P17" s="6">
        <f t="shared" si="11"/>
        <v>1</v>
      </c>
      <c r="Q17" s="6">
        <f t="shared" si="12"/>
        <v>1</v>
      </c>
      <c r="R17" s="6">
        <f t="shared" si="13"/>
        <v>1</v>
      </c>
      <c r="S17" s="6">
        <f t="shared" si="14"/>
        <v>-1</v>
      </c>
      <c r="T17" s="6">
        <f t="shared" si="15"/>
        <v>-1</v>
      </c>
      <c r="U17" s="6">
        <f t="shared" si="16"/>
        <v>1</v>
      </c>
      <c r="V17" s="6">
        <f t="shared" si="17"/>
        <v>1</v>
      </c>
      <c r="W17" s="6">
        <f t="shared" si="18"/>
        <v>1</v>
      </c>
      <c r="X17" s="6">
        <f t="shared" ref="X17:X46" si="19">SIGN(($B$17-$B17)*($C$17-$C17))</f>
        <v>0</v>
      </c>
    </row>
    <row r="18">
      <c r="A18" s="1">
        <v>17.0</v>
      </c>
      <c r="B18" s="4">
        <v>81.0</v>
      </c>
      <c r="C18" s="4">
        <v>46.0</v>
      </c>
      <c r="D18" s="5">
        <f t="shared" si="1"/>
        <v>33</v>
      </c>
      <c r="E18" s="5">
        <f t="shared" si="2"/>
        <v>1</v>
      </c>
      <c r="F18" s="5">
        <f t="shared" si="3"/>
        <v>32</v>
      </c>
      <c r="H18" s="3">
        <v>17.0</v>
      </c>
      <c r="I18" s="6">
        <f t="shared" si="4"/>
        <v>1</v>
      </c>
      <c r="J18" s="6">
        <f t="shared" si="5"/>
        <v>-1</v>
      </c>
      <c r="K18" s="6">
        <f t="shared" si="6"/>
        <v>-1</v>
      </c>
      <c r="L18" s="6">
        <f t="shared" si="7"/>
        <v>-1</v>
      </c>
      <c r="M18" s="6">
        <f t="shared" si="8"/>
        <v>-1</v>
      </c>
      <c r="N18" s="6">
        <f t="shared" si="9"/>
        <v>-1</v>
      </c>
      <c r="O18" s="6">
        <f t="shared" si="10"/>
        <v>1</v>
      </c>
      <c r="P18" s="6">
        <f t="shared" si="11"/>
        <v>1</v>
      </c>
      <c r="Q18" s="6">
        <f t="shared" si="12"/>
        <v>-1</v>
      </c>
      <c r="R18" s="6">
        <f t="shared" si="13"/>
        <v>-1</v>
      </c>
      <c r="S18" s="6">
        <f t="shared" si="14"/>
        <v>-1</v>
      </c>
      <c r="T18" s="6">
        <f t="shared" si="15"/>
        <v>-1</v>
      </c>
      <c r="U18" s="6">
        <f t="shared" si="16"/>
        <v>1</v>
      </c>
      <c r="V18" s="6">
        <f t="shared" si="17"/>
        <v>-1</v>
      </c>
      <c r="W18" s="6">
        <f t="shared" si="18"/>
        <v>-1</v>
      </c>
      <c r="X18" s="6">
        <f t="shared" si="19"/>
        <v>-1</v>
      </c>
      <c r="Y18" s="6">
        <f t="shared" ref="Y18:Y46" si="20">SIGN(($B$18-$B18)*($C$18-$C18))</f>
        <v>0</v>
      </c>
    </row>
    <row r="19">
      <c r="A19" s="1">
        <v>18.0</v>
      </c>
      <c r="B19" s="4">
        <v>62.0</v>
      </c>
      <c r="C19" s="4">
        <v>73.0</v>
      </c>
      <c r="D19" s="5">
        <f t="shared" si="1"/>
        <v>13</v>
      </c>
      <c r="E19" s="5">
        <f t="shared" si="2"/>
        <v>28</v>
      </c>
      <c r="F19" s="5">
        <f t="shared" si="3"/>
        <v>-15</v>
      </c>
      <c r="H19" s="3">
        <v>18.0</v>
      </c>
      <c r="I19" s="6">
        <f t="shared" si="4"/>
        <v>-1</v>
      </c>
      <c r="J19" s="6">
        <f t="shared" si="5"/>
        <v>-1</v>
      </c>
      <c r="K19" s="6">
        <f t="shared" si="6"/>
        <v>1</v>
      </c>
      <c r="L19" s="6">
        <f t="shared" si="7"/>
        <v>-1</v>
      </c>
      <c r="M19" s="6">
        <f t="shared" si="8"/>
        <v>-1</v>
      </c>
      <c r="N19" s="6">
        <f t="shared" si="9"/>
        <v>1</v>
      </c>
      <c r="O19" s="6">
        <f t="shared" si="10"/>
        <v>-1</v>
      </c>
      <c r="P19" s="6">
        <f t="shared" si="11"/>
        <v>1</v>
      </c>
      <c r="Q19" s="6">
        <f t="shared" si="12"/>
        <v>1</v>
      </c>
      <c r="R19" s="6">
        <f t="shared" si="13"/>
        <v>-1</v>
      </c>
      <c r="S19" s="6">
        <f t="shared" si="14"/>
        <v>-1</v>
      </c>
      <c r="T19" s="6">
        <f t="shared" si="15"/>
        <v>-1</v>
      </c>
      <c r="U19" s="6">
        <f t="shared" si="16"/>
        <v>1</v>
      </c>
      <c r="V19" s="6">
        <f t="shared" si="17"/>
        <v>1</v>
      </c>
      <c r="W19" s="6">
        <f t="shared" si="18"/>
        <v>1</v>
      </c>
      <c r="X19" s="6">
        <f t="shared" si="19"/>
        <v>1</v>
      </c>
      <c r="Y19" s="6">
        <f t="shared" si="20"/>
        <v>-1</v>
      </c>
      <c r="Z19" s="6">
        <f t="shared" ref="Z19:Z46" si="21">SIGN(($B$19-$B19)*($C$19-$C19))</f>
        <v>0</v>
      </c>
    </row>
    <row r="20">
      <c r="A20" s="1">
        <v>19.0</v>
      </c>
      <c r="B20" s="4">
        <v>62.0</v>
      </c>
      <c r="C20" s="4">
        <v>47.0</v>
      </c>
      <c r="D20" s="5">
        <f t="shared" si="1"/>
        <v>13</v>
      </c>
      <c r="E20" s="5">
        <f t="shared" si="2"/>
        <v>2</v>
      </c>
      <c r="F20" s="5">
        <f t="shared" si="3"/>
        <v>11</v>
      </c>
      <c r="H20" s="3">
        <v>19.0</v>
      </c>
      <c r="I20" s="6">
        <f t="shared" si="4"/>
        <v>1</v>
      </c>
      <c r="J20" s="6">
        <f t="shared" si="5"/>
        <v>1</v>
      </c>
      <c r="K20" s="6">
        <f t="shared" si="6"/>
        <v>0</v>
      </c>
      <c r="L20" s="6">
        <f t="shared" si="7"/>
        <v>-1</v>
      </c>
      <c r="M20" s="6">
        <f t="shared" si="8"/>
        <v>1</v>
      </c>
      <c r="N20" s="6">
        <f t="shared" si="9"/>
        <v>-1</v>
      </c>
      <c r="O20" s="6">
        <f t="shared" si="10"/>
        <v>1</v>
      </c>
      <c r="P20" s="6">
        <f t="shared" si="11"/>
        <v>1</v>
      </c>
      <c r="Q20" s="6">
        <f t="shared" si="12"/>
        <v>1</v>
      </c>
      <c r="R20" s="6">
        <f t="shared" si="13"/>
        <v>1</v>
      </c>
      <c r="S20" s="6">
        <f t="shared" si="14"/>
        <v>1</v>
      </c>
      <c r="T20" s="6">
        <f t="shared" si="15"/>
        <v>1</v>
      </c>
      <c r="U20" s="6">
        <f t="shared" si="16"/>
        <v>1</v>
      </c>
      <c r="V20" s="6">
        <f t="shared" si="17"/>
        <v>1</v>
      </c>
      <c r="W20" s="6">
        <f t="shared" si="18"/>
        <v>1</v>
      </c>
      <c r="X20" s="6">
        <f t="shared" si="19"/>
        <v>-1</v>
      </c>
      <c r="Y20" s="6">
        <f t="shared" si="20"/>
        <v>-1</v>
      </c>
      <c r="Z20" s="6">
        <f t="shared" si="21"/>
        <v>0</v>
      </c>
      <c r="AA20" s="6">
        <f t="shared" ref="AA20:AA46" si="22">SIGN(($B$20-$B20)*($C$20-$C20))</f>
        <v>0</v>
      </c>
    </row>
    <row r="21">
      <c r="A21" s="1">
        <v>20.0</v>
      </c>
      <c r="B21" s="4">
        <v>93.0</v>
      </c>
      <c r="C21" s="4">
        <v>79.0</v>
      </c>
      <c r="D21" s="5">
        <f t="shared" si="1"/>
        <v>38</v>
      </c>
      <c r="E21" s="5">
        <f t="shared" si="2"/>
        <v>30</v>
      </c>
      <c r="F21" s="5">
        <f t="shared" si="3"/>
        <v>8</v>
      </c>
      <c r="G21" s="8"/>
      <c r="H21" s="3">
        <v>20.0</v>
      </c>
      <c r="I21" s="6">
        <f t="shared" si="4"/>
        <v>-1</v>
      </c>
      <c r="J21" s="6">
        <f t="shared" si="5"/>
        <v>1</v>
      </c>
      <c r="K21" s="6">
        <f t="shared" si="6"/>
        <v>1</v>
      </c>
      <c r="L21" s="6">
        <f t="shared" si="7"/>
        <v>-1</v>
      </c>
      <c r="M21" s="6">
        <f t="shared" si="8"/>
        <v>1</v>
      </c>
      <c r="N21" s="6">
        <f t="shared" si="9"/>
        <v>1</v>
      </c>
      <c r="O21" s="6">
        <f t="shared" si="10"/>
        <v>1</v>
      </c>
      <c r="P21" s="6">
        <f t="shared" si="11"/>
        <v>1</v>
      </c>
      <c r="Q21" s="6">
        <f t="shared" si="12"/>
        <v>-1</v>
      </c>
      <c r="R21" s="6">
        <f t="shared" si="13"/>
        <v>1</v>
      </c>
      <c r="S21" s="6">
        <f t="shared" si="14"/>
        <v>1</v>
      </c>
      <c r="T21" s="6">
        <f t="shared" si="15"/>
        <v>1</v>
      </c>
      <c r="U21" s="6">
        <f t="shared" si="16"/>
        <v>1</v>
      </c>
      <c r="V21" s="6">
        <f t="shared" si="17"/>
        <v>-1</v>
      </c>
      <c r="W21" s="6">
        <f t="shared" si="18"/>
        <v>-1</v>
      </c>
      <c r="X21" s="6">
        <f t="shared" si="19"/>
        <v>1</v>
      </c>
      <c r="Y21" s="6">
        <f t="shared" si="20"/>
        <v>1</v>
      </c>
      <c r="Z21" s="6">
        <f t="shared" si="21"/>
        <v>1</v>
      </c>
      <c r="AA21" s="6">
        <f t="shared" si="22"/>
        <v>1</v>
      </c>
      <c r="AB21" s="6">
        <f t="shared" ref="AB21:AB46" si="23">SIGN(($B$21-$B21)*($C$21-$C21))</f>
        <v>0</v>
      </c>
    </row>
    <row r="22">
      <c r="A22" s="1">
        <v>21.0</v>
      </c>
      <c r="B22" s="4">
        <v>47.0</v>
      </c>
      <c r="C22" s="4">
        <v>92.0</v>
      </c>
      <c r="D22" s="5">
        <f t="shared" si="1"/>
        <v>3</v>
      </c>
      <c r="E22" s="5">
        <f t="shared" si="2"/>
        <v>38</v>
      </c>
      <c r="F22" s="5">
        <f t="shared" si="3"/>
        <v>-35</v>
      </c>
      <c r="H22" s="3">
        <v>21.0</v>
      </c>
      <c r="I22" s="6">
        <f t="shared" si="4"/>
        <v>-1</v>
      </c>
      <c r="J22" s="6">
        <f t="shared" si="5"/>
        <v>-1</v>
      </c>
      <c r="K22" s="6">
        <f t="shared" si="6"/>
        <v>-1</v>
      </c>
      <c r="L22" s="6">
        <f t="shared" si="7"/>
        <v>1</v>
      </c>
      <c r="M22" s="6">
        <f t="shared" si="8"/>
        <v>-1</v>
      </c>
      <c r="N22" s="6">
        <f t="shared" si="9"/>
        <v>-1</v>
      </c>
      <c r="O22" s="6">
        <f t="shared" si="10"/>
        <v>-1</v>
      </c>
      <c r="P22" s="6">
        <f t="shared" si="11"/>
        <v>1</v>
      </c>
      <c r="Q22" s="6">
        <f t="shared" si="12"/>
        <v>-1</v>
      </c>
      <c r="R22" s="6">
        <f t="shared" si="13"/>
        <v>-1</v>
      </c>
      <c r="S22" s="6">
        <f t="shared" si="14"/>
        <v>-1</v>
      </c>
      <c r="T22" s="6">
        <f t="shared" si="15"/>
        <v>-1</v>
      </c>
      <c r="U22" s="6">
        <f t="shared" si="16"/>
        <v>1</v>
      </c>
      <c r="V22" s="6">
        <f t="shared" si="17"/>
        <v>-1</v>
      </c>
      <c r="W22" s="6">
        <f t="shared" si="18"/>
        <v>1</v>
      </c>
      <c r="X22" s="6">
        <f t="shared" si="19"/>
        <v>-1</v>
      </c>
      <c r="Y22" s="6">
        <f t="shared" si="20"/>
        <v>-1</v>
      </c>
      <c r="Z22" s="6">
        <f t="shared" si="21"/>
        <v>-1</v>
      </c>
      <c r="AA22" s="6">
        <f t="shared" si="22"/>
        <v>-1</v>
      </c>
      <c r="AB22" s="6">
        <f t="shared" si="23"/>
        <v>-1</v>
      </c>
      <c r="AC22" s="6">
        <f t="shared" ref="AC22:AC46" si="24">SIGN(($B$22-$B22)*($C$22-$C22))</f>
        <v>0</v>
      </c>
    </row>
    <row r="23">
      <c r="A23" s="1">
        <v>22.0</v>
      </c>
      <c r="B23" s="4">
        <v>85.0</v>
      </c>
      <c r="C23" s="4">
        <v>65.0</v>
      </c>
      <c r="D23" s="5">
        <f t="shared" si="1"/>
        <v>36</v>
      </c>
      <c r="E23" s="5">
        <f t="shared" si="2"/>
        <v>22</v>
      </c>
      <c r="F23" s="5">
        <f t="shared" si="3"/>
        <v>14</v>
      </c>
      <c r="H23" s="3">
        <v>22.0</v>
      </c>
      <c r="I23" s="6">
        <f t="shared" si="4"/>
        <v>-1</v>
      </c>
      <c r="J23" s="6">
        <f t="shared" si="5"/>
        <v>1</v>
      </c>
      <c r="K23" s="6">
        <f t="shared" si="6"/>
        <v>1</v>
      </c>
      <c r="L23" s="6">
        <f t="shared" si="7"/>
        <v>-1</v>
      </c>
      <c r="M23" s="6">
        <f t="shared" si="8"/>
        <v>1</v>
      </c>
      <c r="N23" s="6">
        <f t="shared" si="9"/>
        <v>1</v>
      </c>
      <c r="O23" s="6">
        <f t="shared" si="10"/>
        <v>-1</v>
      </c>
      <c r="P23" s="6">
        <f t="shared" si="11"/>
        <v>1</v>
      </c>
      <c r="Q23" s="6">
        <f t="shared" si="12"/>
        <v>-1</v>
      </c>
      <c r="R23" s="6">
        <f t="shared" si="13"/>
        <v>1</v>
      </c>
      <c r="S23" s="6">
        <f t="shared" si="14"/>
        <v>1</v>
      </c>
      <c r="T23" s="6">
        <f t="shared" si="15"/>
        <v>1</v>
      </c>
      <c r="U23" s="6">
        <f t="shared" si="16"/>
        <v>1</v>
      </c>
      <c r="V23" s="6">
        <f t="shared" si="17"/>
        <v>-1</v>
      </c>
      <c r="W23" s="6">
        <f t="shared" si="18"/>
        <v>-1</v>
      </c>
      <c r="X23" s="6">
        <f t="shared" si="19"/>
        <v>1</v>
      </c>
      <c r="Y23" s="6">
        <f t="shared" si="20"/>
        <v>1</v>
      </c>
      <c r="Z23" s="6">
        <f t="shared" si="21"/>
        <v>-1</v>
      </c>
      <c r="AA23" s="6">
        <f t="shared" si="22"/>
        <v>1</v>
      </c>
      <c r="AB23" s="6">
        <f t="shared" si="23"/>
        <v>1</v>
      </c>
      <c r="AC23" s="6">
        <f t="shared" si="24"/>
        <v>-1</v>
      </c>
      <c r="AD23" s="6">
        <f t="shared" ref="AD23:AD46" si="25">SIGN(($B$23-$B23)*($C$23-$C23))</f>
        <v>0</v>
      </c>
    </row>
    <row r="24">
      <c r="A24" s="1">
        <v>23.0</v>
      </c>
      <c r="B24" s="4">
        <v>60.0</v>
      </c>
      <c r="C24" s="4">
        <v>53.0</v>
      </c>
      <c r="D24" s="5">
        <f t="shared" si="1"/>
        <v>11</v>
      </c>
      <c r="E24" s="5">
        <f t="shared" si="2"/>
        <v>9</v>
      </c>
      <c r="F24" s="5">
        <f t="shared" si="3"/>
        <v>2</v>
      </c>
      <c r="G24" s="7"/>
      <c r="H24" s="3">
        <v>23.0</v>
      </c>
      <c r="I24" s="6">
        <f t="shared" si="4"/>
        <v>-1</v>
      </c>
      <c r="J24" s="6">
        <f t="shared" si="5"/>
        <v>0</v>
      </c>
      <c r="K24" s="6">
        <f t="shared" si="6"/>
        <v>1</v>
      </c>
      <c r="L24" s="6">
        <f t="shared" si="7"/>
        <v>1</v>
      </c>
      <c r="M24" s="6">
        <f t="shared" si="8"/>
        <v>-1</v>
      </c>
      <c r="N24" s="6">
        <f t="shared" si="9"/>
        <v>-1</v>
      </c>
      <c r="O24" s="6">
        <f t="shared" si="10"/>
        <v>1</v>
      </c>
      <c r="P24" s="6">
        <f t="shared" si="11"/>
        <v>1</v>
      </c>
      <c r="Q24" s="6">
        <f t="shared" si="12"/>
        <v>1</v>
      </c>
      <c r="R24" s="6">
        <f t="shared" si="13"/>
        <v>1</v>
      </c>
      <c r="S24" s="6">
        <f t="shared" si="14"/>
        <v>1</v>
      </c>
      <c r="T24" s="6">
        <f t="shared" si="15"/>
        <v>0</v>
      </c>
      <c r="U24" s="6">
        <f t="shared" si="16"/>
        <v>1</v>
      </c>
      <c r="V24" s="6">
        <f t="shared" si="17"/>
        <v>1</v>
      </c>
      <c r="W24" s="6">
        <f t="shared" si="18"/>
        <v>1</v>
      </c>
      <c r="X24" s="6">
        <f t="shared" si="19"/>
        <v>-1</v>
      </c>
      <c r="Y24" s="6">
        <f t="shared" si="20"/>
        <v>-1</v>
      </c>
      <c r="Z24" s="6">
        <f t="shared" si="21"/>
        <v>1</v>
      </c>
      <c r="AA24" s="6">
        <f t="shared" si="22"/>
        <v>-1</v>
      </c>
      <c r="AB24" s="6">
        <f t="shared" si="23"/>
        <v>1</v>
      </c>
      <c r="AC24" s="6">
        <f t="shared" si="24"/>
        <v>-1</v>
      </c>
      <c r="AD24" s="6">
        <f t="shared" si="25"/>
        <v>1</v>
      </c>
      <c r="AE24" s="6">
        <f t="shared" ref="AE24:AE46" si="26">SIGN(($B$24-$B24)*($C$24-$C24))</f>
        <v>0</v>
      </c>
    </row>
    <row r="25">
      <c r="A25" s="1">
        <v>24.0</v>
      </c>
      <c r="B25" s="4">
        <v>95.0</v>
      </c>
      <c r="C25" s="4">
        <v>60.0</v>
      </c>
      <c r="D25" s="5">
        <f t="shared" si="1"/>
        <v>39</v>
      </c>
      <c r="E25" s="5">
        <f t="shared" si="2"/>
        <v>15</v>
      </c>
      <c r="F25" s="5">
        <f t="shared" si="3"/>
        <v>24</v>
      </c>
      <c r="H25" s="3">
        <v>24.0</v>
      </c>
      <c r="I25" s="6">
        <f t="shared" si="4"/>
        <v>-1</v>
      </c>
      <c r="J25" s="6">
        <f t="shared" si="5"/>
        <v>1</v>
      </c>
      <c r="K25" s="6">
        <f t="shared" si="6"/>
        <v>1</v>
      </c>
      <c r="L25" s="6">
        <f t="shared" si="7"/>
        <v>-1</v>
      </c>
      <c r="M25" s="6">
        <f t="shared" si="8"/>
        <v>1</v>
      </c>
      <c r="N25" s="6">
        <f t="shared" si="9"/>
        <v>-1</v>
      </c>
      <c r="O25" s="6">
        <f t="shared" si="10"/>
        <v>-1</v>
      </c>
      <c r="P25" s="6">
        <f t="shared" si="11"/>
        <v>1</v>
      </c>
      <c r="Q25" s="6">
        <f t="shared" si="12"/>
        <v>-1</v>
      </c>
      <c r="R25" s="6">
        <f t="shared" si="13"/>
        <v>-1</v>
      </c>
      <c r="S25" s="6">
        <f t="shared" si="14"/>
        <v>1</v>
      </c>
      <c r="T25" s="6">
        <f t="shared" si="15"/>
        <v>1</v>
      </c>
      <c r="U25" s="6">
        <f t="shared" si="16"/>
        <v>0</v>
      </c>
      <c r="V25" s="6">
        <f t="shared" si="17"/>
        <v>-1</v>
      </c>
      <c r="W25" s="6">
        <f t="shared" si="18"/>
        <v>-1</v>
      </c>
      <c r="X25" s="6">
        <f t="shared" si="19"/>
        <v>-1</v>
      </c>
      <c r="Y25" s="6">
        <f t="shared" si="20"/>
        <v>1</v>
      </c>
      <c r="Z25" s="6">
        <f t="shared" si="21"/>
        <v>-1</v>
      </c>
      <c r="AA25" s="6">
        <f t="shared" si="22"/>
        <v>1</v>
      </c>
      <c r="AB25" s="6">
        <f t="shared" si="23"/>
        <v>-1</v>
      </c>
      <c r="AC25" s="6">
        <f t="shared" si="24"/>
        <v>-1</v>
      </c>
      <c r="AD25" s="6">
        <f t="shared" si="25"/>
        <v>-1</v>
      </c>
      <c r="AE25" s="6">
        <f t="shared" si="26"/>
        <v>1</v>
      </c>
      <c r="AF25" s="6">
        <f t="shared" ref="AF25:AF46" si="27">SIGN(($B$25-$B25)*($C$25-$C25))</f>
        <v>0</v>
      </c>
    </row>
    <row r="26">
      <c r="A26" s="1">
        <v>25.0</v>
      </c>
      <c r="B26" s="4">
        <v>53.0</v>
      </c>
      <c r="C26" s="4">
        <v>52.0</v>
      </c>
      <c r="D26" s="5">
        <f t="shared" si="1"/>
        <v>7</v>
      </c>
      <c r="E26" s="5">
        <f t="shared" si="2"/>
        <v>5</v>
      </c>
      <c r="F26" s="5">
        <f t="shared" si="3"/>
        <v>2</v>
      </c>
      <c r="H26" s="3">
        <v>25.0</v>
      </c>
      <c r="I26" s="6">
        <f t="shared" si="4"/>
        <v>0</v>
      </c>
      <c r="J26" s="6">
        <f t="shared" si="5"/>
        <v>1</v>
      </c>
      <c r="K26" s="6">
        <f t="shared" si="6"/>
        <v>1</v>
      </c>
      <c r="L26" s="6">
        <f t="shared" si="7"/>
        <v>1</v>
      </c>
      <c r="M26" s="6">
        <f t="shared" si="8"/>
        <v>0</v>
      </c>
      <c r="N26" s="6">
        <f t="shared" si="9"/>
        <v>0</v>
      </c>
      <c r="O26" s="6">
        <f t="shared" si="10"/>
        <v>1</v>
      </c>
      <c r="P26" s="6">
        <f t="shared" si="11"/>
        <v>1</v>
      </c>
      <c r="Q26" s="6">
        <f t="shared" si="12"/>
        <v>1</v>
      </c>
      <c r="R26" s="6">
        <f t="shared" si="13"/>
        <v>1</v>
      </c>
      <c r="S26" s="6">
        <f t="shared" si="14"/>
        <v>1</v>
      </c>
      <c r="T26" s="6">
        <f t="shared" si="15"/>
        <v>1</v>
      </c>
      <c r="U26" s="6">
        <f t="shared" si="16"/>
        <v>1</v>
      </c>
      <c r="V26" s="6">
        <f t="shared" si="17"/>
        <v>1</v>
      </c>
      <c r="W26" s="6">
        <f t="shared" si="18"/>
        <v>1</v>
      </c>
      <c r="X26" s="6">
        <f t="shared" si="19"/>
        <v>-1</v>
      </c>
      <c r="Y26" s="6">
        <f t="shared" si="20"/>
        <v>-1</v>
      </c>
      <c r="Z26" s="6">
        <f t="shared" si="21"/>
        <v>1</v>
      </c>
      <c r="AA26" s="6">
        <f t="shared" si="22"/>
        <v>-1</v>
      </c>
      <c r="AB26" s="6">
        <f t="shared" si="23"/>
        <v>1</v>
      </c>
      <c r="AC26" s="6">
        <f t="shared" si="24"/>
        <v>-1</v>
      </c>
      <c r="AD26" s="6">
        <f t="shared" si="25"/>
        <v>1</v>
      </c>
      <c r="AE26" s="6">
        <f t="shared" si="26"/>
        <v>1</v>
      </c>
      <c r="AF26" s="6">
        <f t="shared" si="27"/>
        <v>1</v>
      </c>
      <c r="AG26" s="6">
        <f t="shared" ref="AG26:AG46" si="28">SIGN(($B$26-$B26)*($C$26-$C26))</f>
        <v>0</v>
      </c>
    </row>
    <row r="27">
      <c r="A27" s="1">
        <v>26.0</v>
      </c>
      <c r="B27" s="4">
        <v>82.0</v>
      </c>
      <c r="C27" s="4">
        <v>93.0</v>
      </c>
      <c r="D27" s="5">
        <f t="shared" si="1"/>
        <v>34</v>
      </c>
      <c r="E27" s="5">
        <f t="shared" si="2"/>
        <v>39</v>
      </c>
      <c r="F27" s="5">
        <f t="shared" si="3"/>
        <v>-5</v>
      </c>
      <c r="G27" s="7"/>
      <c r="H27" s="3">
        <v>26.0</v>
      </c>
      <c r="I27" s="6">
        <f t="shared" si="4"/>
        <v>-1</v>
      </c>
      <c r="J27" s="6">
        <f t="shared" si="5"/>
        <v>1</v>
      </c>
      <c r="K27" s="6">
        <f t="shared" si="6"/>
        <v>1</v>
      </c>
      <c r="L27" s="6">
        <f t="shared" si="7"/>
        <v>-1</v>
      </c>
      <c r="M27" s="6">
        <f t="shared" si="8"/>
        <v>1</v>
      </c>
      <c r="N27" s="6">
        <f t="shared" si="9"/>
        <v>1</v>
      </c>
      <c r="O27" s="6">
        <f t="shared" si="10"/>
        <v>-1</v>
      </c>
      <c r="P27" s="6">
        <f t="shared" si="11"/>
        <v>1</v>
      </c>
      <c r="Q27" s="6">
        <f t="shared" si="12"/>
        <v>1</v>
      </c>
      <c r="R27" s="6">
        <f t="shared" si="13"/>
        <v>1</v>
      </c>
      <c r="S27" s="6">
        <f t="shared" si="14"/>
        <v>1</v>
      </c>
      <c r="T27" s="6">
        <f t="shared" si="15"/>
        <v>1</v>
      </c>
      <c r="U27" s="6">
        <f t="shared" si="16"/>
        <v>1</v>
      </c>
      <c r="V27" s="6">
        <f t="shared" si="17"/>
        <v>1</v>
      </c>
      <c r="W27" s="6">
        <f t="shared" si="18"/>
        <v>-1</v>
      </c>
      <c r="X27" s="6">
        <f t="shared" si="19"/>
        <v>1</v>
      </c>
      <c r="Y27" s="6">
        <f t="shared" si="20"/>
        <v>1</v>
      </c>
      <c r="Z27" s="6">
        <f t="shared" si="21"/>
        <v>1</v>
      </c>
      <c r="AA27" s="6">
        <f t="shared" si="22"/>
        <v>1</v>
      </c>
      <c r="AB27" s="6">
        <f t="shared" si="23"/>
        <v>-1</v>
      </c>
      <c r="AC27" s="6">
        <f t="shared" si="24"/>
        <v>1</v>
      </c>
      <c r="AD27" s="6">
        <f t="shared" si="25"/>
        <v>-1</v>
      </c>
      <c r="AE27" s="6">
        <f t="shared" si="26"/>
        <v>1</v>
      </c>
      <c r="AF27" s="6">
        <f t="shared" si="27"/>
        <v>-1</v>
      </c>
      <c r="AG27" s="6">
        <f t="shared" si="28"/>
        <v>1</v>
      </c>
      <c r="AH27" s="6">
        <f t="shared" ref="AH27:AH46" si="29">SIGN(($B$27-$B27)*($C$27-$C27))</f>
        <v>0</v>
      </c>
    </row>
    <row r="28">
      <c r="A28" s="1">
        <v>27.0</v>
      </c>
      <c r="B28" s="4">
        <v>62.0</v>
      </c>
      <c r="C28" s="4">
        <v>70.0</v>
      </c>
      <c r="D28" s="5">
        <f t="shared" si="1"/>
        <v>13</v>
      </c>
      <c r="E28" s="5">
        <f t="shared" si="2"/>
        <v>25</v>
      </c>
      <c r="F28" s="5">
        <f t="shared" si="3"/>
        <v>-12</v>
      </c>
      <c r="H28" s="3">
        <v>27.0</v>
      </c>
      <c r="I28" s="6">
        <f t="shared" si="4"/>
        <v>-1</v>
      </c>
      <c r="J28" s="6">
        <f t="shared" si="5"/>
        <v>-1</v>
      </c>
      <c r="K28" s="6">
        <f t="shared" si="6"/>
        <v>1</v>
      </c>
      <c r="L28" s="6">
        <f t="shared" si="7"/>
        <v>-1</v>
      </c>
      <c r="M28" s="6">
        <f t="shared" si="8"/>
        <v>-1</v>
      </c>
      <c r="N28" s="6">
        <f t="shared" si="9"/>
        <v>1</v>
      </c>
      <c r="O28" s="6">
        <f t="shared" si="10"/>
        <v>-1</v>
      </c>
      <c r="P28" s="6">
        <f t="shared" si="11"/>
        <v>1</v>
      </c>
      <c r="Q28" s="6">
        <f t="shared" si="12"/>
        <v>1</v>
      </c>
      <c r="R28" s="6">
        <f t="shared" si="13"/>
        <v>-1</v>
      </c>
      <c r="S28" s="6">
        <f t="shared" si="14"/>
        <v>-1</v>
      </c>
      <c r="T28" s="6">
        <f t="shared" si="15"/>
        <v>-1</v>
      </c>
      <c r="U28" s="6">
        <f t="shared" si="16"/>
        <v>1</v>
      </c>
      <c r="V28" s="6">
        <f t="shared" si="17"/>
        <v>1</v>
      </c>
      <c r="W28" s="6">
        <f t="shared" si="18"/>
        <v>1</v>
      </c>
      <c r="X28" s="6">
        <f t="shared" si="19"/>
        <v>1</v>
      </c>
      <c r="Y28" s="6">
        <f t="shared" si="20"/>
        <v>-1</v>
      </c>
      <c r="Z28" s="6">
        <f t="shared" si="21"/>
        <v>0</v>
      </c>
      <c r="AA28" s="6">
        <f t="shared" si="22"/>
        <v>0</v>
      </c>
      <c r="AB28" s="6">
        <f t="shared" si="23"/>
        <v>1</v>
      </c>
      <c r="AC28" s="6">
        <f t="shared" si="24"/>
        <v>-1</v>
      </c>
      <c r="AD28" s="6">
        <f t="shared" si="25"/>
        <v>-1</v>
      </c>
      <c r="AE28" s="6">
        <f t="shared" si="26"/>
        <v>1</v>
      </c>
      <c r="AF28" s="6">
        <f t="shared" si="27"/>
        <v>-1</v>
      </c>
      <c r="AG28" s="6">
        <f t="shared" si="28"/>
        <v>1</v>
      </c>
      <c r="AH28" s="6">
        <f t="shared" si="29"/>
        <v>1</v>
      </c>
      <c r="AI28" s="6">
        <f t="shared" ref="AI28:AI46" si="30">SIGN(($B$28-$B28)*($C$28-$C28))</f>
        <v>0</v>
      </c>
    </row>
    <row r="29">
      <c r="A29" s="1">
        <v>28.0</v>
      </c>
      <c r="B29" s="4">
        <v>46.0</v>
      </c>
      <c r="C29" s="4">
        <v>58.0</v>
      </c>
      <c r="D29" s="5">
        <f t="shared" si="1"/>
        <v>2</v>
      </c>
      <c r="E29" s="5">
        <f t="shared" si="2"/>
        <v>13</v>
      </c>
      <c r="F29" s="5">
        <f t="shared" si="3"/>
        <v>-11</v>
      </c>
      <c r="H29" s="3">
        <v>28.0</v>
      </c>
      <c r="I29" s="6">
        <f t="shared" si="4"/>
        <v>-1</v>
      </c>
      <c r="J29" s="6">
        <f t="shared" si="5"/>
        <v>-1</v>
      </c>
      <c r="K29" s="6">
        <f t="shared" si="6"/>
        <v>-1</v>
      </c>
      <c r="L29" s="6">
        <f t="shared" si="7"/>
        <v>1</v>
      </c>
      <c r="M29" s="6">
        <f t="shared" si="8"/>
        <v>-1</v>
      </c>
      <c r="N29" s="6">
        <f t="shared" si="9"/>
        <v>1</v>
      </c>
      <c r="O29" s="6">
        <f t="shared" si="10"/>
        <v>1</v>
      </c>
      <c r="P29" s="6">
        <f t="shared" si="11"/>
        <v>1</v>
      </c>
      <c r="Q29" s="6">
        <f t="shared" si="12"/>
        <v>1</v>
      </c>
      <c r="R29" s="6">
        <f t="shared" si="13"/>
        <v>1</v>
      </c>
      <c r="S29" s="6">
        <f t="shared" si="14"/>
        <v>1</v>
      </c>
      <c r="T29" s="6">
        <f t="shared" si="15"/>
        <v>-1</v>
      </c>
      <c r="U29" s="6">
        <f t="shared" si="16"/>
        <v>1</v>
      </c>
      <c r="V29" s="6">
        <f t="shared" si="17"/>
        <v>1</v>
      </c>
      <c r="W29" s="6">
        <f t="shared" si="18"/>
        <v>1</v>
      </c>
      <c r="X29" s="6">
        <f t="shared" si="19"/>
        <v>1</v>
      </c>
      <c r="Y29" s="6">
        <f t="shared" si="20"/>
        <v>-1</v>
      </c>
      <c r="Z29" s="6">
        <f t="shared" si="21"/>
        <v>1</v>
      </c>
      <c r="AA29" s="6">
        <f t="shared" si="22"/>
        <v>-1</v>
      </c>
      <c r="AB29" s="6">
        <f t="shared" si="23"/>
        <v>1</v>
      </c>
      <c r="AC29" s="6">
        <f t="shared" si="24"/>
        <v>1</v>
      </c>
      <c r="AD29" s="6">
        <f t="shared" si="25"/>
        <v>1</v>
      </c>
      <c r="AE29" s="6">
        <f t="shared" si="26"/>
        <v>-1</v>
      </c>
      <c r="AF29" s="6">
        <f t="shared" si="27"/>
        <v>1</v>
      </c>
      <c r="AG29" s="6">
        <f t="shared" si="28"/>
        <v>-1</v>
      </c>
      <c r="AH29" s="6">
        <f t="shared" si="29"/>
        <v>1</v>
      </c>
      <c r="AI29" s="6">
        <f t="shared" si="30"/>
        <v>1</v>
      </c>
      <c r="AJ29" s="6">
        <f t="shared" ref="AJ29:AJ46" si="31">SIGN(($B$29-$B29)*($C$29-$C29))</f>
        <v>0</v>
      </c>
    </row>
    <row r="30">
      <c r="A30" s="1">
        <v>29.0</v>
      </c>
      <c r="B30" s="4">
        <v>74.0</v>
      </c>
      <c r="C30" s="4">
        <v>65.0</v>
      </c>
      <c r="D30" s="5">
        <f t="shared" si="1"/>
        <v>24</v>
      </c>
      <c r="E30" s="5">
        <f t="shared" si="2"/>
        <v>22</v>
      </c>
      <c r="F30" s="5">
        <f t="shared" si="3"/>
        <v>2</v>
      </c>
      <c r="H30" s="3">
        <v>29.0</v>
      </c>
      <c r="I30" s="6">
        <f t="shared" si="4"/>
        <v>-1</v>
      </c>
      <c r="J30" s="6">
        <f t="shared" si="5"/>
        <v>-1</v>
      </c>
      <c r="K30" s="6">
        <f t="shared" si="6"/>
        <v>1</v>
      </c>
      <c r="L30" s="6">
        <f t="shared" si="7"/>
        <v>-1</v>
      </c>
      <c r="M30" s="6">
        <f t="shared" si="8"/>
        <v>-1</v>
      </c>
      <c r="N30" s="6">
        <f t="shared" si="9"/>
        <v>1</v>
      </c>
      <c r="O30" s="6">
        <f t="shared" si="10"/>
        <v>-1</v>
      </c>
      <c r="P30" s="6">
        <f t="shared" si="11"/>
        <v>1</v>
      </c>
      <c r="Q30" s="6">
        <f t="shared" si="12"/>
        <v>1</v>
      </c>
      <c r="R30" s="6">
        <f t="shared" si="13"/>
        <v>1</v>
      </c>
      <c r="S30" s="6">
        <f t="shared" si="14"/>
        <v>1</v>
      </c>
      <c r="T30" s="6">
        <f t="shared" si="15"/>
        <v>-1</v>
      </c>
      <c r="U30" s="6">
        <f t="shared" si="16"/>
        <v>1</v>
      </c>
      <c r="V30" s="6">
        <f t="shared" si="17"/>
        <v>-1</v>
      </c>
      <c r="W30" s="6">
        <f t="shared" si="18"/>
        <v>-1</v>
      </c>
      <c r="X30" s="6">
        <f t="shared" si="19"/>
        <v>1</v>
      </c>
      <c r="Y30" s="6">
        <f t="shared" si="20"/>
        <v>-1</v>
      </c>
      <c r="Z30" s="6">
        <f t="shared" si="21"/>
        <v>-1</v>
      </c>
      <c r="AA30" s="6">
        <f t="shared" si="22"/>
        <v>1</v>
      </c>
      <c r="AB30" s="6">
        <f t="shared" si="23"/>
        <v>1</v>
      </c>
      <c r="AC30" s="6">
        <f t="shared" si="24"/>
        <v>-1</v>
      </c>
      <c r="AD30" s="6">
        <f t="shared" si="25"/>
        <v>0</v>
      </c>
      <c r="AE30" s="6">
        <f t="shared" si="26"/>
        <v>1</v>
      </c>
      <c r="AF30" s="6">
        <f t="shared" si="27"/>
        <v>-1</v>
      </c>
      <c r="AG30" s="6">
        <f t="shared" si="28"/>
        <v>1</v>
      </c>
      <c r="AH30" s="6">
        <f t="shared" si="29"/>
        <v>1</v>
      </c>
      <c r="AI30" s="6">
        <f t="shared" si="30"/>
        <v>-1</v>
      </c>
      <c r="AJ30" s="6">
        <f t="shared" si="31"/>
        <v>1</v>
      </c>
      <c r="AK30" s="6">
        <f t="shared" ref="AK30:AK46" si="32">SIGN(($B$30-$B30)*($C$30-$C30))</f>
        <v>0</v>
      </c>
    </row>
    <row r="31">
      <c r="A31" s="1">
        <v>30.0</v>
      </c>
      <c r="B31" s="4">
        <v>100.0</v>
      </c>
      <c r="C31" s="4">
        <v>47.0</v>
      </c>
      <c r="D31" s="5">
        <f t="shared" si="1"/>
        <v>44</v>
      </c>
      <c r="E31" s="5">
        <f t="shared" si="2"/>
        <v>2</v>
      </c>
      <c r="F31" s="5">
        <f t="shared" si="3"/>
        <v>42</v>
      </c>
      <c r="H31" s="3">
        <v>30.0</v>
      </c>
      <c r="I31" s="6">
        <f t="shared" si="4"/>
        <v>0</v>
      </c>
      <c r="J31" s="6">
        <f t="shared" si="5"/>
        <v>-1</v>
      </c>
      <c r="K31" s="6">
        <f t="shared" si="6"/>
        <v>0</v>
      </c>
      <c r="L31" s="6">
        <f t="shared" si="7"/>
        <v>-1</v>
      </c>
      <c r="M31" s="6">
        <f t="shared" si="8"/>
        <v>-1</v>
      </c>
      <c r="N31" s="6">
        <f t="shared" si="9"/>
        <v>-1</v>
      </c>
      <c r="O31" s="6">
        <f t="shared" si="10"/>
        <v>-1</v>
      </c>
      <c r="P31" s="6">
        <f t="shared" si="11"/>
        <v>-1</v>
      </c>
      <c r="Q31" s="6">
        <f t="shared" si="12"/>
        <v>-1</v>
      </c>
      <c r="R31" s="6">
        <f t="shared" si="13"/>
        <v>-1</v>
      </c>
      <c r="S31" s="6">
        <f t="shared" si="14"/>
        <v>-1</v>
      </c>
      <c r="T31" s="6">
        <f t="shared" si="15"/>
        <v>-1</v>
      </c>
      <c r="U31" s="6">
        <f t="shared" si="16"/>
        <v>-1</v>
      </c>
      <c r="V31" s="6">
        <f t="shared" si="17"/>
        <v>-1</v>
      </c>
      <c r="W31" s="6">
        <f t="shared" si="18"/>
        <v>-1</v>
      </c>
      <c r="X31" s="6">
        <f t="shared" si="19"/>
        <v>-1</v>
      </c>
      <c r="Y31" s="6">
        <f t="shared" si="20"/>
        <v>1</v>
      </c>
      <c r="Z31" s="6">
        <f t="shared" si="21"/>
        <v>-1</v>
      </c>
      <c r="AA31" s="6">
        <f t="shared" si="22"/>
        <v>0</v>
      </c>
      <c r="AB31" s="6">
        <f t="shared" si="23"/>
        <v>-1</v>
      </c>
      <c r="AC31" s="6">
        <f t="shared" si="24"/>
        <v>-1</v>
      </c>
      <c r="AD31" s="6">
        <f t="shared" si="25"/>
        <v>-1</v>
      </c>
      <c r="AE31" s="6">
        <f t="shared" si="26"/>
        <v>-1</v>
      </c>
      <c r="AF31" s="6">
        <f t="shared" si="27"/>
        <v>-1</v>
      </c>
      <c r="AG31" s="6">
        <f t="shared" si="28"/>
        <v>-1</v>
      </c>
      <c r="AH31" s="6">
        <f t="shared" si="29"/>
        <v>-1</v>
      </c>
      <c r="AI31" s="6">
        <f t="shared" si="30"/>
        <v>-1</v>
      </c>
      <c r="AJ31" s="6">
        <f t="shared" si="31"/>
        <v>-1</v>
      </c>
      <c r="AK31" s="6">
        <f t="shared" si="32"/>
        <v>-1</v>
      </c>
      <c r="AL31" s="6">
        <f t="shared" ref="AL31:AL46" si="33">SIGN(($B$31-$B31)*($C$31-$C31))</f>
        <v>0</v>
      </c>
    </row>
    <row r="32">
      <c r="A32" s="1">
        <v>31.0</v>
      </c>
      <c r="B32" s="4">
        <v>80.0</v>
      </c>
      <c r="C32" s="4">
        <v>97.0</v>
      </c>
      <c r="D32" s="5">
        <f t="shared" si="1"/>
        <v>31</v>
      </c>
      <c r="E32" s="5">
        <f t="shared" si="2"/>
        <v>41</v>
      </c>
      <c r="F32" s="5">
        <f t="shared" si="3"/>
        <v>-10</v>
      </c>
      <c r="H32" s="3">
        <v>31.0</v>
      </c>
      <c r="I32" s="6">
        <f t="shared" si="4"/>
        <v>-1</v>
      </c>
      <c r="J32" s="6">
        <f t="shared" si="5"/>
        <v>1</v>
      </c>
      <c r="K32" s="6">
        <f t="shared" si="6"/>
        <v>1</v>
      </c>
      <c r="L32" s="6">
        <f t="shared" si="7"/>
        <v>0</v>
      </c>
      <c r="M32" s="6">
        <f t="shared" si="8"/>
        <v>1</v>
      </c>
      <c r="N32" s="6">
        <f t="shared" si="9"/>
        <v>1</v>
      </c>
      <c r="O32" s="6">
        <f t="shared" si="10"/>
        <v>-1</v>
      </c>
      <c r="P32" s="6">
        <f t="shared" si="11"/>
        <v>1</v>
      </c>
      <c r="Q32" s="6">
        <f t="shared" si="12"/>
        <v>1</v>
      </c>
      <c r="R32" s="6">
        <f t="shared" si="13"/>
        <v>1</v>
      </c>
      <c r="S32" s="6">
        <f t="shared" si="14"/>
        <v>1</v>
      </c>
      <c r="T32" s="6">
        <f t="shared" si="15"/>
        <v>1</v>
      </c>
      <c r="U32" s="6">
        <f t="shared" si="16"/>
        <v>1</v>
      </c>
      <c r="V32" s="6">
        <f t="shared" si="17"/>
        <v>1</v>
      </c>
      <c r="W32" s="6">
        <f t="shared" si="18"/>
        <v>1</v>
      </c>
      <c r="X32" s="6">
        <f t="shared" si="19"/>
        <v>1</v>
      </c>
      <c r="Y32" s="6">
        <f t="shared" si="20"/>
        <v>-1</v>
      </c>
      <c r="Z32" s="6">
        <f t="shared" si="21"/>
        <v>1</v>
      </c>
      <c r="AA32" s="6">
        <f t="shared" si="22"/>
        <v>1</v>
      </c>
      <c r="AB32" s="6">
        <f t="shared" si="23"/>
        <v>-1</v>
      </c>
      <c r="AC32" s="6">
        <f t="shared" si="24"/>
        <v>1</v>
      </c>
      <c r="AD32" s="6">
        <f t="shared" si="25"/>
        <v>-1</v>
      </c>
      <c r="AE32" s="6">
        <f t="shared" si="26"/>
        <v>1</v>
      </c>
      <c r="AF32" s="6">
        <f t="shared" si="27"/>
        <v>-1</v>
      </c>
      <c r="AG32" s="6">
        <f t="shared" si="28"/>
        <v>1</v>
      </c>
      <c r="AH32" s="6">
        <f t="shared" si="29"/>
        <v>-1</v>
      </c>
      <c r="AI32" s="6">
        <f t="shared" si="30"/>
        <v>1</v>
      </c>
      <c r="AJ32" s="6">
        <f t="shared" si="31"/>
        <v>1</v>
      </c>
      <c r="AK32" s="6">
        <f t="shared" si="32"/>
        <v>1</v>
      </c>
      <c r="AL32" s="6">
        <f t="shared" si="33"/>
        <v>-1</v>
      </c>
      <c r="AM32" s="6">
        <f t="shared" ref="AM32:AM46" si="34">SIGN(($B$32-$B32)*($C$32-$C32))</f>
        <v>0</v>
      </c>
    </row>
    <row r="33">
      <c r="A33" s="1">
        <v>32.0</v>
      </c>
      <c r="B33" s="4">
        <v>71.0</v>
      </c>
      <c r="C33" s="4">
        <v>52.0</v>
      </c>
      <c r="D33" s="5">
        <f t="shared" si="1"/>
        <v>23</v>
      </c>
      <c r="E33" s="5">
        <f t="shared" si="2"/>
        <v>5</v>
      </c>
      <c r="F33" s="5">
        <f t="shared" si="3"/>
        <v>18</v>
      </c>
      <c r="H33" s="3">
        <v>32.0</v>
      </c>
      <c r="I33" s="6">
        <f t="shared" si="4"/>
        <v>0</v>
      </c>
      <c r="J33" s="6">
        <f t="shared" si="5"/>
        <v>1</v>
      </c>
      <c r="K33" s="6">
        <f t="shared" si="6"/>
        <v>1</v>
      </c>
      <c r="L33" s="6">
        <f t="shared" si="7"/>
        <v>-1</v>
      </c>
      <c r="M33" s="6">
        <f t="shared" si="8"/>
        <v>0</v>
      </c>
      <c r="N33" s="6">
        <f t="shared" si="9"/>
        <v>-1</v>
      </c>
      <c r="O33" s="6">
        <f t="shared" si="10"/>
        <v>1</v>
      </c>
      <c r="P33" s="6">
        <f t="shared" si="11"/>
        <v>1</v>
      </c>
      <c r="Q33" s="6">
        <f t="shared" si="12"/>
        <v>1</v>
      </c>
      <c r="R33" s="6">
        <f t="shared" si="13"/>
        <v>-1</v>
      </c>
      <c r="S33" s="6">
        <f t="shared" si="14"/>
        <v>-1</v>
      </c>
      <c r="T33" s="6">
        <f t="shared" si="15"/>
        <v>1</v>
      </c>
      <c r="U33" s="6">
        <f t="shared" si="16"/>
        <v>1</v>
      </c>
      <c r="V33" s="6">
        <f t="shared" si="17"/>
        <v>-1</v>
      </c>
      <c r="W33" s="6">
        <f t="shared" si="18"/>
        <v>-1</v>
      </c>
      <c r="X33" s="6">
        <f t="shared" si="19"/>
        <v>-1</v>
      </c>
      <c r="Y33" s="6">
        <f t="shared" si="20"/>
        <v>-1</v>
      </c>
      <c r="Z33" s="6">
        <f t="shared" si="21"/>
        <v>-1</v>
      </c>
      <c r="AA33" s="6">
        <f t="shared" si="22"/>
        <v>1</v>
      </c>
      <c r="AB33" s="6">
        <f t="shared" si="23"/>
        <v>1</v>
      </c>
      <c r="AC33" s="6">
        <f t="shared" si="24"/>
        <v>-1</v>
      </c>
      <c r="AD33" s="6">
        <f t="shared" si="25"/>
        <v>1</v>
      </c>
      <c r="AE33" s="6">
        <f t="shared" si="26"/>
        <v>-1</v>
      </c>
      <c r="AF33" s="6">
        <f t="shared" si="27"/>
        <v>1</v>
      </c>
      <c r="AG33" s="6">
        <f t="shared" si="28"/>
        <v>0</v>
      </c>
      <c r="AH33" s="6">
        <f t="shared" si="29"/>
        <v>1</v>
      </c>
      <c r="AI33" s="6">
        <f t="shared" si="30"/>
        <v>-1</v>
      </c>
      <c r="AJ33" s="6">
        <f t="shared" si="31"/>
        <v>-1</v>
      </c>
      <c r="AK33" s="6">
        <f t="shared" si="32"/>
        <v>1</v>
      </c>
      <c r="AL33" s="6">
        <f t="shared" si="33"/>
        <v>-1</v>
      </c>
      <c r="AM33" s="6">
        <f t="shared" si="34"/>
        <v>1</v>
      </c>
      <c r="AN33" s="6">
        <f t="shared" ref="AN33:AN46" si="35">SIGN(($B$33-$B33)*($C$33-$C33))</f>
        <v>0</v>
      </c>
    </row>
    <row r="34">
      <c r="A34" s="1">
        <v>33.0</v>
      </c>
      <c r="B34" s="4">
        <v>59.0</v>
      </c>
      <c r="C34" s="4">
        <v>82.0</v>
      </c>
      <c r="D34" s="5">
        <f t="shared" si="1"/>
        <v>10</v>
      </c>
      <c r="E34" s="5">
        <f t="shared" si="2"/>
        <v>33</v>
      </c>
      <c r="F34" s="5">
        <f t="shared" si="3"/>
        <v>-23</v>
      </c>
      <c r="H34" s="3">
        <v>33.0</v>
      </c>
      <c r="I34" s="6">
        <f t="shared" si="4"/>
        <v>-1</v>
      </c>
      <c r="J34" s="6">
        <f t="shared" si="5"/>
        <v>-1</v>
      </c>
      <c r="K34" s="6">
        <f t="shared" si="6"/>
        <v>1</v>
      </c>
      <c r="L34" s="6">
        <f t="shared" si="7"/>
        <v>1</v>
      </c>
      <c r="M34" s="6">
        <f t="shared" si="8"/>
        <v>-1</v>
      </c>
      <c r="N34" s="6">
        <f t="shared" si="9"/>
        <v>1</v>
      </c>
      <c r="O34" s="6">
        <f t="shared" si="10"/>
        <v>-1</v>
      </c>
      <c r="P34" s="6">
        <f t="shared" si="11"/>
        <v>1</v>
      </c>
      <c r="Q34" s="6">
        <f t="shared" si="12"/>
        <v>-1</v>
      </c>
      <c r="R34" s="6">
        <f t="shared" si="13"/>
        <v>-1</v>
      </c>
      <c r="S34" s="6">
        <f t="shared" si="14"/>
        <v>-1</v>
      </c>
      <c r="T34" s="6">
        <f t="shared" si="15"/>
        <v>-1</v>
      </c>
      <c r="U34" s="6">
        <f t="shared" si="16"/>
        <v>1</v>
      </c>
      <c r="V34" s="6">
        <f t="shared" si="17"/>
        <v>1</v>
      </c>
      <c r="W34" s="6">
        <f t="shared" si="18"/>
        <v>1</v>
      </c>
      <c r="X34" s="6">
        <f t="shared" si="19"/>
        <v>1</v>
      </c>
      <c r="Y34" s="6">
        <f t="shared" si="20"/>
        <v>-1</v>
      </c>
      <c r="Z34" s="6">
        <f t="shared" si="21"/>
        <v>-1</v>
      </c>
      <c r="AA34" s="6">
        <f t="shared" si="22"/>
        <v>-1</v>
      </c>
      <c r="AB34" s="6">
        <f t="shared" si="23"/>
        <v>-1</v>
      </c>
      <c r="AC34" s="6">
        <f t="shared" si="24"/>
        <v>-1</v>
      </c>
      <c r="AD34" s="6">
        <f t="shared" si="25"/>
        <v>-1</v>
      </c>
      <c r="AE34" s="6">
        <f t="shared" si="26"/>
        <v>-1</v>
      </c>
      <c r="AF34" s="6">
        <f t="shared" si="27"/>
        <v>-1</v>
      </c>
      <c r="AG34" s="6">
        <f t="shared" si="28"/>
        <v>1</v>
      </c>
      <c r="AH34" s="6">
        <f t="shared" si="29"/>
        <v>1</v>
      </c>
      <c r="AI34" s="6">
        <f t="shared" si="30"/>
        <v>-1</v>
      </c>
      <c r="AJ34" s="6">
        <f t="shared" si="31"/>
        <v>1</v>
      </c>
      <c r="AK34" s="6">
        <f t="shared" si="32"/>
        <v>-1</v>
      </c>
      <c r="AL34" s="6">
        <f t="shared" si="33"/>
        <v>-1</v>
      </c>
      <c r="AM34" s="6">
        <f t="shared" si="34"/>
        <v>1</v>
      </c>
      <c r="AN34" s="6">
        <f t="shared" si="35"/>
        <v>-1</v>
      </c>
      <c r="AO34" s="6">
        <f t="shared" ref="AO34:AO46" si="36">SIGN(($B$34-$B34)*($C$34-$C34))</f>
        <v>0</v>
      </c>
    </row>
    <row r="35">
      <c r="A35" s="1">
        <v>34.0</v>
      </c>
      <c r="B35" s="4">
        <v>78.0</v>
      </c>
      <c r="C35" s="4">
        <v>86.0</v>
      </c>
      <c r="D35" s="5">
        <f t="shared" si="1"/>
        <v>28</v>
      </c>
      <c r="E35" s="5">
        <f t="shared" si="2"/>
        <v>35</v>
      </c>
      <c r="F35" s="5">
        <f t="shared" si="3"/>
        <v>-7</v>
      </c>
      <c r="H35" s="3">
        <v>34.0</v>
      </c>
      <c r="I35" s="6">
        <f t="shared" si="4"/>
        <v>-1</v>
      </c>
      <c r="J35" s="6">
        <f t="shared" si="5"/>
        <v>1</v>
      </c>
      <c r="K35" s="6">
        <f t="shared" si="6"/>
        <v>1</v>
      </c>
      <c r="L35" s="6">
        <f t="shared" si="7"/>
        <v>-1</v>
      </c>
      <c r="M35" s="6">
        <f t="shared" si="8"/>
        <v>-1</v>
      </c>
      <c r="N35" s="6">
        <f t="shared" si="9"/>
        <v>1</v>
      </c>
      <c r="O35" s="6">
        <f t="shared" si="10"/>
        <v>-1</v>
      </c>
      <c r="P35" s="6">
        <f t="shared" si="11"/>
        <v>1</v>
      </c>
      <c r="Q35" s="6">
        <f t="shared" si="12"/>
        <v>0</v>
      </c>
      <c r="R35" s="6">
        <f t="shared" si="13"/>
        <v>1</v>
      </c>
      <c r="S35" s="6">
        <f t="shared" si="14"/>
        <v>1</v>
      </c>
      <c r="T35" s="6">
        <f t="shared" si="15"/>
        <v>1</v>
      </c>
      <c r="U35" s="6">
        <f t="shared" si="16"/>
        <v>1</v>
      </c>
      <c r="V35" s="6">
        <f t="shared" si="17"/>
        <v>1</v>
      </c>
      <c r="W35" s="6">
        <f t="shared" si="18"/>
        <v>-1</v>
      </c>
      <c r="X35" s="6">
        <f t="shared" si="19"/>
        <v>1</v>
      </c>
      <c r="Y35" s="6">
        <f t="shared" si="20"/>
        <v>-1</v>
      </c>
      <c r="Z35" s="6">
        <f t="shared" si="21"/>
        <v>1</v>
      </c>
      <c r="AA35" s="6">
        <f t="shared" si="22"/>
        <v>1</v>
      </c>
      <c r="AB35" s="6">
        <f t="shared" si="23"/>
        <v>-1</v>
      </c>
      <c r="AC35" s="6">
        <f t="shared" si="24"/>
        <v>-1</v>
      </c>
      <c r="AD35" s="6">
        <f t="shared" si="25"/>
        <v>-1</v>
      </c>
      <c r="AE35" s="6">
        <f t="shared" si="26"/>
        <v>1</v>
      </c>
      <c r="AF35" s="6">
        <f t="shared" si="27"/>
        <v>-1</v>
      </c>
      <c r="AG35" s="6">
        <f t="shared" si="28"/>
        <v>1</v>
      </c>
      <c r="AH35" s="6">
        <f t="shared" si="29"/>
        <v>1</v>
      </c>
      <c r="AI35" s="6">
        <f t="shared" si="30"/>
        <v>1</v>
      </c>
      <c r="AJ35" s="6">
        <f t="shared" si="31"/>
        <v>1</v>
      </c>
      <c r="AK35" s="6">
        <f t="shared" si="32"/>
        <v>1</v>
      </c>
      <c r="AL35" s="6">
        <f t="shared" si="33"/>
        <v>-1</v>
      </c>
      <c r="AM35" s="6">
        <f t="shared" si="34"/>
        <v>1</v>
      </c>
      <c r="AN35" s="6">
        <f t="shared" si="35"/>
        <v>1</v>
      </c>
      <c r="AO35" s="6">
        <f t="shared" si="36"/>
        <v>1</v>
      </c>
      <c r="AP35" s="6">
        <f t="shared" ref="AP35:AP46" si="37">SIGN(($B$35-$B35)*($C$35-$C35))</f>
        <v>0</v>
      </c>
    </row>
    <row r="36">
      <c r="A36" s="1">
        <v>35.0</v>
      </c>
      <c r="B36" s="4">
        <v>76.0</v>
      </c>
      <c r="C36" s="4">
        <v>87.0</v>
      </c>
      <c r="D36" s="5">
        <f t="shared" si="1"/>
        <v>25</v>
      </c>
      <c r="E36" s="5">
        <f t="shared" si="2"/>
        <v>36</v>
      </c>
      <c r="F36" s="5">
        <f t="shared" si="3"/>
        <v>-11</v>
      </c>
      <c r="H36" s="3">
        <v>35.0</v>
      </c>
      <c r="I36" s="6">
        <f t="shared" si="4"/>
        <v>-1</v>
      </c>
      <c r="J36" s="6">
        <f t="shared" si="5"/>
        <v>0</v>
      </c>
      <c r="K36" s="6">
        <f t="shared" si="6"/>
        <v>1</v>
      </c>
      <c r="L36" s="6">
        <f t="shared" si="7"/>
        <v>-1</v>
      </c>
      <c r="M36" s="6">
        <f t="shared" si="8"/>
        <v>-1</v>
      </c>
      <c r="N36" s="6">
        <f t="shared" si="9"/>
        <v>1</v>
      </c>
      <c r="O36" s="6">
        <f t="shared" si="10"/>
        <v>-1</v>
      </c>
      <c r="P36" s="6">
        <f t="shared" si="11"/>
        <v>1</v>
      </c>
      <c r="Q36" s="6">
        <f t="shared" si="12"/>
        <v>-1</v>
      </c>
      <c r="R36" s="6">
        <f t="shared" si="13"/>
        <v>1</v>
      </c>
      <c r="S36" s="6">
        <f t="shared" si="14"/>
        <v>1</v>
      </c>
      <c r="T36" s="6">
        <f t="shared" si="15"/>
        <v>-1</v>
      </c>
      <c r="U36" s="6">
        <f t="shared" si="16"/>
        <v>1</v>
      </c>
      <c r="V36" s="6">
        <f t="shared" si="17"/>
        <v>1</v>
      </c>
      <c r="W36" s="6">
        <f t="shared" si="18"/>
        <v>-1</v>
      </c>
      <c r="X36" s="6">
        <f t="shared" si="19"/>
        <v>1</v>
      </c>
      <c r="Y36" s="6">
        <f t="shared" si="20"/>
        <v>-1</v>
      </c>
      <c r="Z36" s="6">
        <f t="shared" si="21"/>
        <v>1</v>
      </c>
      <c r="AA36" s="6">
        <f t="shared" si="22"/>
        <v>1</v>
      </c>
      <c r="AB36" s="6">
        <f t="shared" si="23"/>
        <v>-1</v>
      </c>
      <c r="AC36" s="6">
        <f t="shared" si="24"/>
        <v>-1</v>
      </c>
      <c r="AD36" s="6">
        <f t="shared" si="25"/>
        <v>-1</v>
      </c>
      <c r="AE36" s="6">
        <f t="shared" si="26"/>
        <v>1</v>
      </c>
      <c r="AF36" s="6">
        <f t="shared" si="27"/>
        <v>-1</v>
      </c>
      <c r="AG36" s="6">
        <f t="shared" si="28"/>
        <v>1</v>
      </c>
      <c r="AH36" s="6">
        <f t="shared" si="29"/>
        <v>1</v>
      </c>
      <c r="AI36" s="6">
        <f t="shared" si="30"/>
        <v>1</v>
      </c>
      <c r="AJ36" s="6">
        <f t="shared" si="31"/>
        <v>1</v>
      </c>
      <c r="AK36" s="6">
        <f t="shared" si="32"/>
        <v>1</v>
      </c>
      <c r="AL36" s="6">
        <f t="shared" si="33"/>
        <v>-1</v>
      </c>
      <c r="AM36" s="6">
        <f t="shared" si="34"/>
        <v>1</v>
      </c>
      <c r="AN36" s="6">
        <f t="shared" si="35"/>
        <v>1</v>
      </c>
      <c r="AO36" s="6">
        <f t="shared" si="36"/>
        <v>1</v>
      </c>
      <c r="AP36" s="6">
        <f t="shared" si="37"/>
        <v>-1</v>
      </c>
      <c r="AQ36" s="6">
        <f t="shared" ref="AQ36:AQ46" si="38">SIGN(($B$36-$B36)*($C$36-$C36))</f>
        <v>0</v>
      </c>
    </row>
    <row r="37">
      <c r="A37" s="1">
        <v>36.0</v>
      </c>
      <c r="B37" s="4">
        <v>95.0</v>
      </c>
      <c r="C37" s="4">
        <v>89.0</v>
      </c>
      <c r="D37" s="5">
        <f t="shared" si="1"/>
        <v>39</v>
      </c>
      <c r="E37" s="5">
        <f t="shared" si="2"/>
        <v>37</v>
      </c>
      <c r="F37" s="5">
        <f t="shared" si="3"/>
        <v>2</v>
      </c>
      <c r="H37" s="3">
        <v>36.0</v>
      </c>
      <c r="I37" s="6">
        <f t="shared" si="4"/>
        <v>-1</v>
      </c>
      <c r="J37" s="6">
        <f t="shared" si="5"/>
        <v>1</v>
      </c>
      <c r="K37" s="6">
        <f t="shared" si="6"/>
        <v>1</v>
      </c>
      <c r="L37" s="6">
        <f t="shared" si="7"/>
        <v>-1</v>
      </c>
      <c r="M37" s="6">
        <f t="shared" si="8"/>
        <v>1</v>
      </c>
      <c r="N37" s="6">
        <f t="shared" si="9"/>
        <v>1</v>
      </c>
      <c r="O37" s="6">
        <f t="shared" si="10"/>
        <v>1</v>
      </c>
      <c r="P37" s="6">
        <f t="shared" si="11"/>
        <v>1</v>
      </c>
      <c r="Q37" s="6">
        <f t="shared" si="12"/>
        <v>1</v>
      </c>
      <c r="R37" s="6">
        <f t="shared" si="13"/>
        <v>1</v>
      </c>
      <c r="S37" s="6">
        <f t="shared" si="14"/>
        <v>1</v>
      </c>
      <c r="T37" s="6">
        <f t="shared" si="15"/>
        <v>1</v>
      </c>
      <c r="U37" s="6">
        <f t="shared" si="16"/>
        <v>0</v>
      </c>
      <c r="V37" s="6">
        <f t="shared" si="17"/>
        <v>1</v>
      </c>
      <c r="W37" s="6">
        <f t="shared" si="18"/>
        <v>-1</v>
      </c>
      <c r="X37" s="6">
        <f t="shared" si="19"/>
        <v>1</v>
      </c>
      <c r="Y37" s="6">
        <f t="shared" si="20"/>
        <v>1</v>
      </c>
      <c r="Z37" s="6">
        <f t="shared" si="21"/>
        <v>1</v>
      </c>
      <c r="AA37" s="6">
        <f t="shared" si="22"/>
        <v>1</v>
      </c>
      <c r="AB37" s="6">
        <f t="shared" si="23"/>
        <v>1</v>
      </c>
      <c r="AC37" s="6">
        <f t="shared" si="24"/>
        <v>-1</v>
      </c>
      <c r="AD37" s="6">
        <f t="shared" si="25"/>
        <v>1</v>
      </c>
      <c r="AE37" s="6">
        <f t="shared" si="26"/>
        <v>1</v>
      </c>
      <c r="AF37" s="6">
        <f t="shared" si="27"/>
        <v>0</v>
      </c>
      <c r="AG37" s="6">
        <f t="shared" si="28"/>
        <v>1</v>
      </c>
      <c r="AH37" s="6">
        <f t="shared" si="29"/>
        <v>-1</v>
      </c>
      <c r="AI37" s="6">
        <f t="shared" si="30"/>
        <v>1</v>
      </c>
      <c r="AJ37" s="6">
        <f t="shared" si="31"/>
        <v>1</v>
      </c>
      <c r="AK37" s="6">
        <f t="shared" si="32"/>
        <v>1</v>
      </c>
      <c r="AL37" s="6">
        <f t="shared" si="33"/>
        <v>-1</v>
      </c>
      <c r="AM37" s="6">
        <f t="shared" si="34"/>
        <v>-1</v>
      </c>
      <c r="AN37" s="6">
        <f t="shared" si="35"/>
        <v>1</v>
      </c>
      <c r="AO37" s="6">
        <f t="shared" si="36"/>
        <v>1</v>
      </c>
      <c r="AP37" s="6">
        <f t="shared" si="37"/>
        <v>1</v>
      </c>
      <c r="AQ37" s="6">
        <f t="shared" si="38"/>
        <v>1</v>
      </c>
      <c r="AR37" s="6">
        <f t="shared" ref="AR37:AR46" si="39">SIGN(($B$37-$B37)*($C$37-$C37))</f>
        <v>0</v>
      </c>
    </row>
    <row r="38">
      <c r="A38" s="1">
        <v>37.0</v>
      </c>
      <c r="B38" s="4">
        <v>97.0</v>
      </c>
      <c r="C38" s="4">
        <v>61.0</v>
      </c>
      <c r="D38" s="5">
        <f t="shared" si="1"/>
        <v>42</v>
      </c>
      <c r="E38" s="5">
        <f t="shared" si="2"/>
        <v>16</v>
      </c>
      <c r="F38" s="5">
        <f t="shared" si="3"/>
        <v>26</v>
      </c>
      <c r="H38" s="3">
        <v>37.0</v>
      </c>
      <c r="I38" s="6">
        <f t="shared" si="4"/>
        <v>-1</v>
      </c>
      <c r="J38" s="6">
        <f t="shared" si="5"/>
        <v>1</v>
      </c>
      <c r="K38" s="6">
        <f t="shared" si="6"/>
        <v>1</v>
      </c>
      <c r="L38" s="6">
        <f t="shared" si="7"/>
        <v>-1</v>
      </c>
      <c r="M38" s="6">
        <f t="shared" si="8"/>
        <v>1</v>
      </c>
      <c r="N38" s="6">
        <f t="shared" si="9"/>
        <v>-1</v>
      </c>
      <c r="O38" s="6">
        <f t="shared" si="10"/>
        <v>-1</v>
      </c>
      <c r="P38" s="6">
        <f t="shared" si="11"/>
        <v>0</v>
      </c>
      <c r="Q38" s="6">
        <f t="shared" si="12"/>
        <v>-1</v>
      </c>
      <c r="R38" s="6">
        <f t="shared" si="13"/>
        <v>-1</v>
      </c>
      <c r="S38" s="6">
        <f t="shared" si="14"/>
        <v>1</v>
      </c>
      <c r="T38" s="6">
        <f t="shared" si="15"/>
        <v>1</v>
      </c>
      <c r="U38" s="6">
        <f t="shared" si="16"/>
        <v>-1</v>
      </c>
      <c r="V38" s="6">
        <f t="shared" si="17"/>
        <v>-1</v>
      </c>
      <c r="W38" s="6">
        <f t="shared" si="18"/>
        <v>-1</v>
      </c>
      <c r="X38" s="6">
        <f t="shared" si="19"/>
        <v>-1</v>
      </c>
      <c r="Y38" s="6">
        <f t="shared" si="20"/>
        <v>1</v>
      </c>
      <c r="Z38" s="6">
        <f t="shared" si="21"/>
        <v>-1</v>
      </c>
      <c r="AA38" s="6">
        <f t="shared" si="22"/>
        <v>1</v>
      </c>
      <c r="AB38" s="6">
        <f t="shared" si="23"/>
        <v>-1</v>
      </c>
      <c r="AC38" s="6">
        <f t="shared" si="24"/>
        <v>-1</v>
      </c>
      <c r="AD38" s="6">
        <f t="shared" si="25"/>
        <v>-1</v>
      </c>
      <c r="AE38" s="6">
        <f t="shared" si="26"/>
        <v>1</v>
      </c>
      <c r="AF38" s="6">
        <f t="shared" si="27"/>
        <v>1</v>
      </c>
      <c r="AG38" s="6">
        <f t="shared" si="28"/>
        <v>1</v>
      </c>
      <c r="AH38" s="6">
        <f t="shared" si="29"/>
        <v>-1</v>
      </c>
      <c r="AI38" s="6">
        <f t="shared" si="30"/>
        <v>-1</v>
      </c>
      <c r="AJ38" s="6">
        <f t="shared" si="31"/>
        <v>1</v>
      </c>
      <c r="AK38" s="6">
        <f t="shared" si="32"/>
        <v>-1</v>
      </c>
      <c r="AL38" s="6">
        <f t="shared" si="33"/>
        <v>-1</v>
      </c>
      <c r="AM38" s="6">
        <f t="shared" si="34"/>
        <v>-1</v>
      </c>
      <c r="AN38" s="6">
        <f t="shared" si="35"/>
        <v>1</v>
      </c>
      <c r="AO38" s="6">
        <f t="shared" si="36"/>
        <v>-1</v>
      </c>
      <c r="AP38" s="6">
        <f t="shared" si="37"/>
        <v>-1</v>
      </c>
      <c r="AQ38" s="6">
        <f t="shared" si="38"/>
        <v>-1</v>
      </c>
      <c r="AR38" s="6">
        <f t="shared" si="39"/>
        <v>-1</v>
      </c>
      <c r="AS38" s="6">
        <f t="shared" ref="AS38:AS46" si="40">SIGN(($B$38-$B38)*($C$38-$C38))</f>
        <v>0</v>
      </c>
    </row>
    <row r="39">
      <c r="A39" s="1">
        <v>38.0</v>
      </c>
      <c r="B39" s="4">
        <v>84.0</v>
      </c>
      <c r="C39" s="4">
        <v>72.0</v>
      </c>
      <c r="D39" s="5">
        <f t="shared" si="1"/>
        <v>35</v>
      </c>
      <c r="E39" s="5">
        <f t="shared" si="2"/>
        <v>26</v>
      </c>
      <c r="F39" s="5">
        <f t="shared" si="3"/>
        <v>9</v>
      </c>
      <c r="H39" s="3">
        <v>38.0</v>
      </c>
      <c r="I39" s="6">
        <f t="shared" si="4"/>
        <v>-1</v>
      </c>
      <c r="J39" s="6">
        <f t="shared" si="5"/>
        <v>1</v>
      </c>
      <c r="K39" s="6">
        <f t="shared" si="6"/>
        <v>1</v>
      </c>
      <c r="L39" s="6">
        <f t="shared" si="7"/>
        <v>-1</v>
      </c>
      <c r="M39" s="6">
        <f t="shared" si="8"/>
        <v>1</v>
      </c>
      <c r="N39" s="6">
        <f t="shared" si="9"/>
        <v>1</v>
      </c>
      <c r="O39" s="6">
        <f t="shared" si="10"/>
        <v>-1</v>
      </c>
      <c r="P39" s="6">
        <f t="shared" si="11"/>
        <v>1</v>
      </c>
      <c r="Q39" s="6">
        <f t="shared" si="12"/>
        <v>-1</v>
      </c>
      <c r="R39" s="6">
        <f t="shared" si="13"/>
        <v>1</v>
      </c>
      <c r="S39" s="6">
        <f t="shared" si="14"/>
        <v>1</v>
      </c>
      <c r="T39" s="6">
        <f t="shared" si="15"/>
        <v>1</v>
      </c>
      <c r="U39" s="6">
        <f t="shared" si="16"/>
        <v>1</v>
      </c>
      <c r="V39" s="6">
        <f t="shared" si="17"/>
        <v>-1</v>
      </c>
      <c r="W39" s="6">
        <f t="shared" si="18"/>
        <v>-1</v>
      </c>
      <c r="X39" s="6">
        <f t="shared" si="19"/>
        <v>1</v>
      </c>
      <c r="Y39" s="6">
        <f t="shared" si="20"/>
        <v>1</v>
      </c>
      <c r="Z39" s="6">
        <f t="shared" si="21"/>
        <v>-1</v>
      </c>
      <c r="AA39" s="6">
        <f t="shared" si="22"/>
        <v>1</v>
      </c>
      <c r="AB39" s="6">
        <f t="shared" si="23"/>
        <v>1</v>
      </c>
      <c r="AC39" s="6">
        <f t="shared" si="24"/>
        <v>-1</v>
      </c>
      <c r="AD39" s="6">
        <f t="shared" si="25"/>
        <v>-1</v>
      </c>
      <c r="AE39" s="6">
        <f t="shared" si="26"/>
        <v>1</v>
      </c>
      <c r="AF39" s="6">
        <f t="shared" si="27"/>
        <v>-1</v>
      </c>
      <c r="AG39" s="6">
        <f t="shared" si="28"/>
        <v>1</v>
      </c>
      <c r="AH39" s="6">
        <f t="shared" si="29"/>
        <v>-1</v>
      </c>
      <c r="AI39" s="6">
        <f t="shared" si="30"/>
        <v>1</v>
      </c>
      <c r="AJ39" s="6">
        <f t="shared" si="31"/>
        <v>1</v>
      </c>
      <c r="AK39" s="6">
        <f t="shared" si="32"/>
        <v>1</v>
      </c>
      <c r="AL39" s="6">
        <f t="shared" si="33"/>
        <v>-1</v>
      </c>
      <c r="AM39" s="6">
        <f t="shared" si="34"/>
        <v>-1</v>
      </c>
      <c r="AN39" s="6">
        <f t="shared" si="35"/>
        <v>1</v>
      </c>
      <c r="AO39" s="6">
        <f t="shared" si="36"/>
        <v>-1</v>
      </c>
      <c r="AP39" s="6">
        <f t="shared" si="37"/>
        <v>-1</v>
      </c>
      <c r="AQ39" s="6">
        <f t="shared" si="38"/>
        <v>-1</v>
      </c>
      <c r="AR39" s="6">
        <f t="shared" si="39"/>
        <v>1</v>
      </c>
      <c r="AS39" s="6">
        <f t="shared" si="40"/>
        <v>-1</v>
      </c>
      <c r="AT39" s="6">
        <f t="shared" ref="AT39:AT46" si="41">SIGN(($B$39-$B39)*($C$39-$C39))</f>
        <v>0</v>
      </c>
    </row>
    <row r="40">
      <c r="A40" s="1">
        <v>39.0</v>
      </c>
      <c r="B40" s="4">
        <v>47.0</v>
      </c>
      <c r="C40" s="4">
        <v>74.0</v>
      </c>
      <c r="D40" s="5">
        <f t="shared" si="1"/>
        <v>3</v>
      </c>
      <c r="E40" s="5">
        <f t="shared" si="2"/>
        <v>29</v>
      </c>
      <c r="F40" s="5">
        <f t="shared" si="3"/>
        <v>-26</v>
      </c>
      <c r="H40" s="3">
        <v>39.0</v>
      </c>
      <c r="I40" s="6">
        <f t="shared" si="4"/>
        <v>-1</v>
      </c>
      <c r="J40" s="6">
        <f t="shared" si="5"/>
        <v>-1</v>
      </c>
      <c r="K40" s="6">
        <f t="shared" si="6"/>
        <v>-1</v>
      </c>
      <c r="L40" s="6">
        <f t="shared" si="7"/>
        <v>1</v>
      </c>
      <c r="M40" s="6">
        <f t="shared" si="8"/>
        <v>-1</v>
      </c>
      <c r="N40" s="6">
        <f t="shared" si="9"/>
        <v>-1</v>
      </c>
      <c r="O40" s="6">
        <f t="shared" si="10"/>
        <v>-1</v>
      </c>
      <c r="P40" s="6">
        <f t="shared" si="11"/>
        <v>1</v>
      </c>
      <c r="Q40" s="6">
        <f t="shared" si="12"/>
        <v>1</v>
      </c>
      <c r="R40" s="6">
        <f t="shared" si="13"/>
        <v>-1</v>
      </c>
      <c r="S40" s="6">
        <f t="shared" si="14"/>
        <v>-1</v>
      </c>
      <c r="T40" s="6">
        <f t="shared" si="15"/>
        <v>-1</v>
      </c>
      <c r="U40" s="6">
        <f t="shared" si="16"/>
        <v>1</v>
      </c>
      <c r="V40" s="6">
        <f t="shared" si="17"/>
        <v>1</v>
      </c>
      <c r="W40" s="6">
        <f t="shared" si="18"/>
        <v>1</v>
      </c>
      <c r="X40" s="6">
        <f t="shared" si="19"/>
        <v>-1</v>
      </c>
      <c r="Y40" s="6">
        <f t="shared" si="20"/>
        <v>-1</v>
      </c>
      <c r="Z40" s="6">
        <f t="shared" si="21"/>
        <v>-1</v>
      </c>
      <c r="AA40" s="6">
        <f t="shared" si="22"/>
        <v>-1</v>
      </c>
      <c r="AB40" s="6">
        <f t="shared" si="23"/>
        <v>1</v>
      </c>
      <c r="AC40" s="6">
        <f t="shared" si="24"/>
        <v>0</v>
      </c>
      <c r="AD40" s="6">
        <f t="shared" si="25"/>
        <v>-1</v>
      </c>
      <c r="AE40" s="6">
        <f t="shared" si="26"/>
        <v>-1</v>
      </c>
      <c r="AF40" s="6">
        <f t="shared" si="27"/>
        <v>-1</v>
      </c>
      <c r="AG40" s="6">
        <f t="shared" si="28"/>
        <v>-1</v>
      </c>
      <c r="AH40" s="6">
        <f t="shared" si="29"/>
        <v>1</v>
      </c>
      <c r="AI40" s="6">
        <f t="shared" si="30"/>
        <v>-1</v>
      </c>
      <c r="AJ40" s="6">
        <f t="shared" si="31"/>
        <v>1</v>
      </c>
      <c r="AK40" s="6">
        <f t="shared" si="32"/>
        <v>-1</v>
      </c>
      <c r="AL40" s="6">
        <f t="shared" si="33"/>
        <v>-1</v>
      </c>
      <c r="AM40" s="6">
        <f t="shared" si="34"/>
        <v>1</v>
      </c>
      <c r="AN40" s="6">
        <f t="shared" si="35"/>
        <v>-1</v>
      </c>
      <c r="AO40" s="6">
        <f t="shared" si="36"/>
        <v>1</v>
      </c>
      <c r="AP40" s="6">
        <f t="shared" si="37"/>
        <v>1</v>
      </c>
      <c r="AQ40" s="6">
        <f t="shared" si="38"/>
        <v>1</v>
      </c>
      <c r="AR40" s="6">
        <f t="shared" si="39"/>
        <v>1</v>
      </c>
      <c r="AS40" s="6">
        <f t="shared" si="40"/>
        <v>-1</v>
      </c>
      <c r="AT40" s="6">
        <f t="shared" si="41"/>
        <v>-1</v>
      </c>
      <c r="AU40" s="6">
        <f t="shared" ref="AU40:AU46" si="42">SIGN(($B$40-$B40)*($C$40-$C40))</f>
        <v>0</v>
      </c>
    </row>
    <row r="41">
      <c r="A41" s="1">
        <v>40.0</v>
      </c>
      <c r="B41" s="4">
        <v>69.0</v>
      </c>
      <c r="C41" s="4">
        <v>56.0</v>
      </c>
      <c r="D41" s="5">
        <f t="shared" si="1"/>
        <v>19</v>
      </c>
      <c r="E41" s="5">
        <f t="shared" si="2"/>
        <v>12</v>
      </c>
      <c r="F41" s="5">
        <f t="shared" si="3"/>
        <v>7</v>
      </c>
      <c r="H41" s="3">
        <v>40.0</v>
      </c>
      <c r="I41" s="6">
        <f t="shared" si="4"/>
        <v>-1</v>
      </c>
      <c r="J41" s="6">
        <f t="shared" si="5"/>
        <v>-1</v>
      </c>
      <c r="K41" s="6">
        <f t="shared" si="6"/>
        <v>1</v>
      </c>
      <c r="L41" s="6">
        <f t="shared" si="7"/>
        <v>-1</v>
      </c>
      <c r="M41" s="6">
        <f t="shared" si="8"/>
        <v>-1</v>
      </c>
      <c r="N41" s="6">
        <f t="shared" si="9"/>
        <v>-1</v>
      </c>
      <c r="O41" s="6">
        <f t="shared" si="10"/>
        <v>1</v>
      </c>
      <c r="P41" s="6">
        <f t="shared" si="11"/>
        <v>1</v>
      </c>
      <c r="Q41" s="6">
        <f t="shared" si="12"/>
        <v>1</v>
      </c>
      <c r="R41" s="6">
        <f t="shared" si="13"/>
        <v>-1</v>
      </c>
      <c r="S41" s="6">
        <f t="shared" si="14"/>
        <v>-1</v>
      </c>
      <c r="T41" s="6">
        <f t="shared" si="15"/>
        <v>-1</v>
      </c>
      <c r="U41" s="6">
        <f t="shared" si="16"/>
        <v>1</v>
      </c>
      <c r="V41" s="6">
        <f t="shared" si="17"/>
        <v>0</v>
      </c>
      <c r="W41" s="6">
        <f t="shared" si="18"/>
        <v>0</v>
      </c>
      <c r="X41" s="6">
        <f t="shared" si="19"/>
        <v>-1</v>
      </c>
      <c r="Y41" s="6">
        <f t="shared" si="20"/>
        <v>-1</v>
      </c>
      <c r="Z41" s="6">
        <f t="shared" si="21"/>
        <v>-1</v>
      </c>
      <c r="AA41" s="6">
        <f t="shared" si="22"/>
        <v>1</v>
      </c>
      <c r="AB41" s="6">
        <f t="shared" si="23"/>
        <v>1</v>
      </c>
      <c r="AC41" s="6">
        <f t="shared" si="24"/>
        <v>-1</v>
      </c>
      <c r="AD41" s="6">
        <f t="shared" si="25"/>
        <v>1</v>
      </c>
      <c r="AE41" s="6">
        <f t="shared" si="26"/>
        <v>1</v>
      </c>
      <c r="AF41" s="6">
        <f t="shared" si="27"/>
        <v>1</v>
      </c>
      <c r="AG41" s="6">
        <f t="shared" si="28"/>
        <v>1</v>
      </c>
      <c r="AH41" s="6">
        <f t="shared" si="29"/>
        <v>1</v>
      </c>
      <c r="AI41" s="6">
        <f t="shared" si="30"/>
        <v>-1</v>
      </c>
      <c r="AJ41" s="6">
        <f t="shared" si="31"/>
        <v>-1</v>
      </c>
      <c r="AK41" s="6">
        <f t="shared" si="32"/>
        <v>1</v>
      </c>
      <c r="AL41" s="6">
        <f t="shared" si="33"/>
        <v>-1</v>
      </c>
      <c r="AM41" s="6">
        <f t="shared" si="34"/>
        <v>1</v>
      </c>
      <c r="AN41" s="6">
        <f t="shared" si="35"/>
        <v>-1</v>
      </c>
      <c r="AO41" s="6">
        <f t="shared" si="36"/>
        <v>-1</v>
      </c>
      <c r="AP41" s="6">
        <f t="shared" si="37"/>
        <v>1</v>
      </c>
      <c r="AQ41" s="6">
        <f t="shared" si="38"/>
        <v>1</v>
      </c>
      <c r="AR41" s="6">
        <f t="shared" si="39"/>
        <v>1</v>
      </c>
      <c r="AS41" s="6">
        <f t="shared" si="40"/>
        <v>1</v>
      </c>
      <c r="AT41" s="6">
        <f t="shared" si="41"/>
        <v>1</v>
      </c>
      <c r="AU41" s="6">
        <f t="shared" si="42"/>
        <v>-1</v>
      </c>
      <c r="AV41" s="6">
        <f t="shared" ref="AV41:AV46" si="43">SIGN(($B$41-$B41)*($C$41-$C41))</f>
        <v>0</v>
      </c>
    </row>
    <row r="42">
      <c r="A42" s="1">
        <v>41.0</v>
      </c>
      <c r="B42" s="4">
        <v>69.0</v>
      </c>
      <c r="C42" s="4">
        <v>79.0</v>
      </c>
      <c r="D42" s="5">
        <f t="shared" si="1"/>
        <v>19</v>
      </c>
      <c r="E42" s="5">
        <f t="shared" si="2"/>
        <v>30</v>
      </c>
      <c r="F42" s="5">
        <f t="shared" si="3"/>
        <v>-11</v>
      </c>
      <c r="H42" s="3">
        <v>41.0</v>
      </c>
      <c r="I42" s="6">
        <f t="shared" si="4"/>
        <v>-1</v>
      </c>
      <c r="J42" s="6">
        <f t="shared" si="5"/>
        <v>-1</v>
      </c>
      <c r="K42" s="6">
        <f t="shared" si="6"/>
        <v>1</v>
      </c>
      <c r="L42" s="6">
        <f t="shared" si="7"/>
        <v>-1</v>
      </c>
      <c r="M42" s="6">
        <f t="shared" si="8"/>
        <v>-1</v>
      </c>
      <c r="N42" s="6">
        <f t="shared" si="9"/>
        <v>1</v>
      </c>
      <c r="O42" s="6">
        <f t="shared" si="10"/>
        <v>-1</v>
      </c>
      <c r="P42" s="6">
        <f t="shared" si="11"/>
        <v>1</v>
      </c>
      <c r="Q42" s="6">
        <f t="shared" si="12"/>
        <v>1</v>
      </c>
      <c r="R42" s="6">
        <f t="shared" si="13"/>
        <v>1</v>
      </c>
      <c r="S42" s="6">
        <f t="shared" si="14"/>
        <v>1</v>
      </c>
      <c r="T42" s="6">
        <f t="shared" si="15"/>
        <v>-1</v>
      </c>
      <c r="U42" s="6">
        <f t="shared" si="16"/>
        <v>1</v>
      </c>
      <c r="V42" s="6">
        <f t="shared" si="17"/>
        <v>0</v>
      </c>
      <c r="W42" s="6">
        <f t="shared" si="18"/>
        <v>0</v>
      </c>
      <c r="X42" s="6">
        <f t="shared" si="19"/>
        <v>1</v>
      </c>
      <c r="Y42" s="6">
        <f t="shared" si="20"/>
        <v>-1</v>
      </c>
      <c r="Z42" s="6">
        <f t="shared" si="21"/>
        <v>1</v>
      </c>
      <c r="AA42" s="6">
        <f t="shared" si="22"/>
        <v>1</v>
      </c>
      <c r="AB42" s="6">
        <f t="shared" si="23"/>
        <v>0</v>
      </c>
      <c r="AC42" s="6">
        <f t="shared" si="24"/>
        <v>-1</v>
      </c>
      <c r="AD42" s="6">
        <f t="shared" si="25"/>
        <v>-1</v>
      </c>
      <c r="AE42" s="6">
        <f t="shared" si="26"/>
        <v>1</v>
      </c>
      <c r="AF42" s="6">
        <f t="shared" si="27"/>
        <v>-1</v>
      </c>
      <c r="AG42" s="6">
        <f t="shared" si="28"/>
        <v>1</v>
      </c>
      <c r="AH42" s="6">
        <f t="shared" si="29"/>
        <v>1</v>
      </c>
      <c r="AI42" s="6">
        <f t="shared" si="30"/>
        <v>1</v>
      </c>
      <c r="AJ42" s="6">
        <f t="shared" si="31"/>
        <v>1</v>
      </c>
      <c r="AK42" s="6">
        <f t="shared" si="32"/>
        <v>-1</v>
      </c>
      <c r="AL42" s="6">
        <f t="shared" si="33"/>
        <v>-1</v>
      </c>
      <c r="AM42" s="6">
        <f t="shared" si="34"/>
        <v>1</v>
      </c>
      <c r="AN42" s="6">
        <f t="shared" si="35"/>
        <v>-1</v>
      </c>
      <c r="AO42" s="6">
        <f t="shared" si="36"/>
        <v>-1</v>
      </c>
      <c r="AP42" s="6">
        <f t="shared" si="37"/>
        <v>1</v>
      </c>
      <c r="AQ42" s="6">
        <f t="shared" si="38"/>
        <v>1</v>
      </c>
      <c r="AR42" s="6">
        <f t="shared" si="39"/>
        <v>1</v>
      </c>
      <c r="AS42" s="6">
        <f t="shared" si="40"/>
        <v>-1</v>
      </c>
      <c r="AT42" s="6">
        <f t="shared" si="41"/>
        <v>-1</v>
      </c>
      <c r="AU42" s="6">
        <f t="shared" si="42"/>
        <v>1</v>
      </c>
      <c r="AV42" s="6">
        <f t="shared" si="43"/>
        <v>0</v>
      </c>
      <c r="AW42" s="6">
        <f t="shared" ref="AW42:AW46" si="44">SIGN(($B$42-$B42)*($C$42-$C42))</f>
        <v>0</v>
      </c>
    </row>
    <row r="43">
      <c r="A43" s="1">
        <v>42.0</v>
      </c>
      <c r="B43" s="4">
        <v>55.0</v>
      </c>
      <c r="C43" s="4">
        <v>72.0</v>
      </c>
      <c r="D43" s="5">
        <f t="shared" si="1"/>
        <v>9</v>
      </c>
      <c r="E43" s="5">
        <f t="shared" si="2"/>
        <v>26</v>
      </c>
      <c r="F43" s="5">
        <f t="shared" si="3"/>
        <v>-17</v>
      </c>
      <c r="H43" s="3">
        <v>42.0</v>
      </c>
      <c r="I43" s="6">
        <f t="shared" si="4"/>
        <v>-1</v>
      </c>
      <c r="J43" s="6">
        <f t="shared" si="5"/>
        <v>-1</v>
      </c>
      <c r="K43" s="6">
        <f t="shared" si="6"/>
        <v>1</v>
      </c>
      <c r="L43" s="6">
        <f t="shared" si="7"/>
        <v>1</v>
      </c>
      <c r="M43" s="6">
        <f t="shared" si="8"/>
        <v>-1</v>
      </c>
      <c r="N43" s="6">
        <f t="shared" si="9"/>
        <v>1</v>
      </c>
      <c r="O43" s="6">
        <f t="shared" si="10"/>
        <v>-1</v>
      </c>
      <c r="P43" s="6">
        <f t="shared" si="11"/>
        <v>1</v>
      </c>
      <c r="Q43" s="6">
        <f t="shared" si="12"/>
        <v>1</v>
      </c>
      <c r="R43" s="6">
        <f t="shared" si="13"/>
        <v>-1</v>
      </c>
      <c r="S43" s="6">
        <f t="shared" si="14"/>
        <v>-1</v>
      </c>
      <c r="T43" s="6">
        <f t="shared" si="15"/>
        <v>-1</v>
      </c>
      <c r="U43" s="6">
        <f t="shared" si="16"/>
        <v>1</v>
      </c>
      <c r="V43" s="6">
        <f t="shared" si="17"/>
        <v>1</v>
      </c>
      <c r="W43" s="6">
        <f t="shared" si="18"/>
        <v>1</v>
      </c>
      <c r="X43" s="6">
        <f t="shared" si="19"/>
        <v>1</v>
      </c>
      <c r="Y43" s="6">
        <f t="shared" si="20"/>
        <v>-1</v>
      </c>
      <c r="Z43" s="6">
        <f t="shared" si="21"/>
        <v>1</v>
      </c>
      <c r="AA43" s="6">
        <f t="shared" si="22"/>
        <v>-1</v>
      </c>
      <c r="AB43" s="6">
        <f t="shared" si="23"/>
        <v>1</v>
      </c>
      <c r="AC43" s="6">
        <f t="shared" si="24"/>
        <v>-1</v>
      </c>
      <c r="AD43" s="6">
        <f t="shared" si="25"/>
        <v>-1</v>
      </c>
      <c r="AE43" s="6">
        <f t="shared" si="26"/>
        <v>-1</v>
      </c>
      <c r="AF43" s="6">
        <f t="shared" si="27"/>
        <v>-1</v>
      </c>
      <c r="AG43" s="6">
        <f t="shared" si="28"/>
        <v>1</v>
      </c>
      <c r="AH43" s="6">
        <f t="shared" si="29"/>
        <v>1</v>
      </c>
      <c r="AI43" s="6">
        <f t="shared" si="30"/>
        <v>-1</v>
      </c>
      <c r="AJ43" s="6">
        <f t="shared" si="31"/>
        <v>1</v>
      </c>
      <c r="AK43" s="6">
        <f t="shared" si="32"/>
        <v>-1</v>
      </c>
      <c r="AL43" s="6">
        <f t="shared" si="33"/>
        <v>-1</v>
      </c>
      <c r="AM43" s="6">
        <f t="shared" si="34"/>
        <v>1</v>
      </c>
      <c r="AN43" s="6">
        <f t="shared" si="35"/>
        <v>-1</v>
      </c>
      <c r="AO43" s="6">
        <f t="shared" si="36"/>
        <v>1</v>
      </c>
      <c r="AP43" s="6">
        <f t="shared" si="37"/>
        <v>1</v>
      </c>
      <c r="AQ43" s="6">
        <f t="shared" si="38"/>
        <v>1</v>
      </c>
      <c r="AR43" s="6">
        <f t="shared" si="39"/>
        <v>1</v>
      </c>
      <c r="AS43" s="6">
        <f t="shared" si="40"/>
        <v>-1</v>
      </c>
      <c r="AT43" s="6">
        <f t="shared" si="41"/>
        <v>0</v>
      </c>
      <c r="AU43" s="6">
        <f t="shared" si="42"/>
        <v>-1</v>
      </c>
      <c r="AV43" s="6">
        <f t="shared" si="43"/>
        <v>-1</v>
      </c>
      <c r="AW43" s="6">
        <f t="shared" si="44"/>
        <v>1</v>
      </c>
      <c r="AX43" s="6">
        <f t="shared" ref="AX43:AX46" si="45">SIGN(($B$43-$B43)*($C$43-$C43))</f>
        <v>0</v>
      </c>
    </row>
    <row r="44">
      <c r="A44" s="1">
        <v>43.0</v>
      </c>
      <c r="B44" s="4">
        <v>45.0</v>
      </c>
      <c r="C44" s="4">
        <v>98.0</v>
      </c>
      <c r="D44" s="5">
        <f t="shared" si="1"/>
        <v>1</v>
      </c>
      <c r="E44" s="5">
        <f t="shared" si="2"/>
        <v>43</v>
      </c>
      <c r="F44" s="5">
        <f t="shared" si="3"/>
        <v>-42</v>
      </c>
      <c r="H44" s="3">
        <v>43.0</v>
      </c>
      <c r="I44" s="6">
        <f t="shared" si="4"/>
        <v>-1</v>
      </c>
      <c r="J44" s="6">
        <f t="shared" si="5"/>
        <v>-1</v>
      </c>
      <c r="K44" s="6">
        <f t="shared" si="6"/>
        <v>-1</v>
      </c>
      <c r="L44" s="6">
        <f t="shared" si="7"/>
        <v>-1</v>
      </c>
      <c r="M44" s="6">
        <f t="shared" si="8"/>
        <v>-1</v>
      </c>
      <c r="N44" s="6">
        <f t="shared" si="9"/>
        <v>-1</v>
      </c>
      <c r="O44" s="6">
        <f t="shared" si="10"/>
        <v>-1</v>
      </c>
      <c r="P44" s="6">
        <f t="shared" si="11"/>
        <v>0</v>
      </c>
      <c r="Q44" s="6">
        <f t="shared" si="12"/>
        <v>-1</v>
      </c>
      <c r="R44" s="6">
        <f t="shared" si="13"/>
        <v>-1</v>
      </c>
      <c r="S44" s="6">
        <f t="shared" si="14"/>
        <v>-1</v>
      </c>
      <c r="T44" s="6">
        <f t="shared" si="15"/>
        <v>-1</v>
      </c>
      <c r="U44" s="6">
        <f t="shared" si="16"/>
        <v>1</v>
      </c>
      <c r="V44" s="6">
        <f t="shared" si="17"/>
        <v>-1</v>
      </c>
      <c r="W44" s="6">
        <f t="shared" si="18"/>
        <v>-1</v>
      </c>
      <c r="X44" s="6">
        <f t="shared" si="19"/>
        <v>-1</v>
      </c>
      <c r="Y44" s="6">
        <f t="shared" si="20"/>
        <v>-1</v>
      </c>
      <c r="Z44" s="6">
        <f t="shared" si="21"/>
        <v>-1</v>
      </c>
      <c r="AA44" s="6">
        <f t="shared" si="22"/>
        <v>-1</v>
      </c>
      <c r="AB44" s="6">
        <f t="shared" si="23"/>
        <v>-1</v>
      </c>
      <c r="AC44" s="6">
        <f t="shared" si="24"/>
        <v>-1</v>
      </c>
      <c r="AD44" s="6">
        <f t="shared" si="25"/>
        <v>-1</v>
      </c>
      <c r="AE44" s="6">
        <f t="shared" si="26"/>
        <v>-1</v>
      </c>
      <c r="AF44" s="6">
        <f t="shared" si="27"/>
        <v>-1</v>
      </c>
      <c r="AG44" s="6">
        <f t="shared" si="28"/>
        <v>-1</v>
      </c>
      <c r="AH44" s="6">
        <f t="shared" si="29"/>
        <v>-1</v>
      </c>
      <c r="AI44" s="6">
        <f t="shared" si="30"/>
        <v>-1</v>
      </c>
      <c r="AJ44" s="6">
        <f t="shared" si="31"/>
        <v>-1</v>
      </c>
      <c r="AK44" s="6">
        <f t="shared" si="32"/>
        <v>-1</v>
      </c>
      <c r="AL44" s="6">
        <f t="shared" si="33"/>
        <v>-1</v>
      </c>
      <c r="AM44" s="6">
        <f t="shared" si="34"/>
        <v>-1</v>
      </c>
      <c r="AN44" s="6">
        <f t="shared" si="35"/>
        <v>-1</v>
      </c>
      <c r="AO44" s="6">
        <f t="shared" si="36"/>
        <v>-1</v>
      </c>
      <c r="AP44" s="6">
        <f t="shared" si="37"/>
        <v>-1</v>
      </c>
      <c r="AQ44" s="6">
        <f t="shared" si="38"/>
        <v>-1</v>
      </c>
      <c r="AR44" s="6">
        <f t="shared" si="39"/>
        <v>-1</v>
      </c>
      <c r="AS44" s="6">
        <f t="shared" si="40"/>
        <v>-1</v>
      </c>
      <c r="AT44" s="6">
        <f t="shared" si="41"/>
        <v>-1</v>
      </c>
      <c r="AU44" s="6">
        <f t="shared" si="42"/>
        <v>-1</v>
      </c>
      <c r="AV44" s="6">
        <f t="shared" si="43"/>
        <v>-1</v>
      </c>
      <c r="AW44" s="6">
        <f t="shared" si="44"/>
        <v>-1</v>
      </c>
      <c r="AX44" s="6">
        <f t="shared" si="45"/>
        <v>-1</v>
      </c>
      <c r="AY44" s="6">
        <f t="shared" ref="AY44:AY46" si="46">SIGN(($B$44-$B44)*($C$44-$C44))</f>
        <v>0</v>
      </c>
    </row>
    <row r="45">
      <c r="A45" s="1">
        <v>44.0</v>
      </c>
      <c r="B45" s="4">
        <v>80.0</v>
      </c>
      <c r="C45" s="4">
        <v>62.0</v>
      </c>
      <c r="D45" s="5">
        <f t="shared" si="1"/>
        <v>31</v>
      </c>
      <c r="E45" s="5">
        <f t="shared" si="2"/>
        <v>17</v>
      </c>
      <c r="F45" s="5">
        <f t="shared" si="3"/>
        <v>14</v>
      </c>
      <c r="H45" s="3">
        <v>44.0</v>
      </c>
      <c r="I45" s="6">
        <f t="shared" si="4"/>
        <v>-1</v>
      </c>
      <c r="J45" s="6">
        <f t="shared" si="5"/>
        <v>1</v>
      </c>
      <c r="K45" s="6">
        <f t="shared" si="6"/>
        <v>1</v>
      </c>
      <c r="L45" s="6">
        <f t="shared" si="7"/>
        <v>-1</v>
      </c>
      <c r="M45" s="6">
        <f t="shared" si="8"/>
        <v>1</v>
      </c>
      <c r="N45" s="6">
        <f t="shared" si="9"/>
        <v>-1</v>
      </c>
      <c r="O45" s="6">
        <f t="shared" si="10"/>
        <v>1</v>
      </c>
      <c r="P45" s="6">
        <f t="shared" si="11"/>
        <v>1</v>
      </c>
      <c r="Q45" s="6">
        <f t="shared" si="12"/>
        <v>-1</v>
      </c>
      <c r="R45" s="6">
        <f t="shared" si="13"/>
        <v>-1</v>
      </c>
      <c r="S45" s="6">
        <f t="shared" si="14"/>
        <v>1</v>
      </c>
      <c r="T45" s="6">
        <f t="shared" si="15"/>
        <v>1</v>
      </c>
      <c r="U45" s="6">
        <f t="shared" si="16"/>
        <v>1</v>
      </c>
      <c r="V45" s="6">
        <f t="shared" si="17"/>
        <v>-1</v>
      </c>
      <c r="W45" s="6">
        <f t="shared" si="18"/>
        <v>-1</v>
      </c>
      <c r="X45" s="6">
        <f t="shared" si="19"/>
        <v>0</v>
      </c>
      <c r="Y45" s="6">
        <f t="shared" si="20"/>
        <v>-1</v>
      </c>
      <c r="Z45" s="6">
        <f t="shared" si="21"/>
        <v>-1</v>
      </c>
      <c r="AA45" s="6">
        <f t="shared" si="22"/>
        <v>1</v>
      </c>
      <c r="AB45" s="6">
        <f t="shared" si="23"/>
        <v>1</v>
      </c>
      <c r="AC45" s="6">
        <f t="shared" si="24"/>
        <v>-1</v>
      </c>
      <c r="AD45" s="6">
        <f t="shared" si="25"/>
        <v>1</v>
      </c>
      <c r="AE45" s="6">
        <f t="shared" si="26"/>
        <v>1</v>
      </c>
      <c r="AF45" s="6">
        <f t="shared" si="27"/>
        <v>-1</v>
      </c>
      <c r="AG45" s="6">
        <f t="shared" si="28"/>
        <v>1</v>
      </c>
      <c r="AH45" s="6">
        <f t="shared" si="29"/>
        <v>1</v>
      </c>
      <c r="AI45" s="6">
        <f t="shared" si="30"/>
        <v>-1</v>
      </c>
      <c r="AJ45" s="6">
        <f t="shared" si="31"/>
        <v>1</v>
      </c>
      <c r="AK45" s="6">
        <f t="shared" si="32"/>
        <v>-1</v>
      </c>
      <c r="AL45" s="6">
        <f t="shared" si="33"/>
        <v>-1</v>
      </c>
      <c r="AM45" s="6">
        <f t="shared" si="34"/>
        <v>0</v>
      </c>
      <c r="AN45" s="6">
        <f t="shared" si="35"/>
        <v>1</v>
      </c>
      <c r="AO45" s="6">
        <f t="shared" si="36"/>
        <v>-1</v>
      </c>
      <c r="AP45" s="6">
        <f t="shared" si="37"/>
        <v>-1</v>
      </c>
      <c r="AQ45" s="6">
        <f t="shared" si="38"/>
        <v>-1</v>
      </c>
      <c r="AR45" s="6">
        <f t="shared" si="39"/>
        <v>1</v>
      </c>
      <c r="AS45" s="6">
        <f t="shared" si="40"/>
        <v>-1</v>
      </c>
      <c r="AT45" s="6">
        <f t="shared" si="41"/>
        <v>1</v>
      </c>
      <c r="AU45" s="6">
        <f t="shared" si="42"/>
        <v>-1</v>
      </c>
      <c r="AV45" s="6">
        <f t="shared" si="43"/>
        <v>1</v>
      </c>
      <c r="AW45" s="6">
        <f t="shared" si="44"/>
        <v>-1</v>
      </c>
      <c r="AX45" s="6">
        <f t="shared" si="45"/>
        <v>-1</v>
      </c>
      <c r="AY45" s="6">
        <f t="shared" si="46"/>
        <v>-1</v>
      </c>
      <c r="AZ45" s="6">
        <f t="shared" ref="AZ45:AZ46" si="47">SIGN(($B$45-$B45)*($C$45-$C45))</f>
        <v>0</v>
      </c>
    </row>
    <row r="46">
      <c r="A46" s="1">
        <v>45.0</v>
      </c>
      <c r="B46" s="4">
        <v>62.0</v>
      </c>
      <c r="C46" s="4">
        <v>67.0</v>
      </c>
      <c r="D46" s="5">
        <f t="shared" si="1"/>
        <v>13</v>
      </c>
      <c r="E46" s="5">
        <f t="shared" si="2"/>
        <v>24</v>
      </c>
      <c r="F46" s="5">
        <f t="shared" si="3"/>
        <v>-11</v>
      </c>
      <c r="H46" s="3">
        <v>45.0</v>
      </c>
      <c r="I46" s="6">
        <f t="shared" si="4"/>
        <v>-1</v>
      </c>
      <c r="J46" s="6">
        <f t="shared" si="5"/>
        <v>-1</v>
      </c>
      <c r="K46" s="6">
        <f t="shared" si="6"/>
        <v>1</v>
      </c>
      <c r="L46" s="6">
        <f t="shared" si="7"/>
        <v>-1</v>
      </c>
      <c r="M46" s="6">
        <f t="shared" si="8"/>
        <v>-1</v>
      </c>
      <c r="N46" s="6">
        <f t="shared" si="9"/>
        <v>1</v>
      </c>
      <c r="O46" s="6">
        <f t="shared" si="10"/>
        <v>-1</v>
      </c>
      <c r="P46" s="6">
        <f t="shared" si="11"/>
        <v>1</v>
      </c>
      <c r="Q46" s="6">
        <f t="shared" si="12"/>
        <v>1</v>
      </c>
      <c r="R46" s="6">
        <f t="shared" si="13"/>
        <v>-1</v>
      </c>
      <c r="S46" s="6">
        <f t="shared" si="14"/>
        <v>-1</v>
      </c>
      <c r="T46" s="6">
        <f t="shared" si="15"/>
        <v>-1</v>
      </c>
      <c r="U46" s="6">
        <f t="shared" si="16"/>
        <v>1</v>
      </c>
      <c r="V46" s="6">
        <f t="shared" si="17"/>
        <v>1</v>
      </c>
      <c r="W46" s="6">
        <f t="shared" si="18"/>
        <v>1</v>
      </c>
      <c r="X46" s="6">
        <f t="shared" si="19"/>
        <v>1</v>
      </c>
      <c r="Y46" s="6">
        <f t="shared" si="20"/>
        <v>-1</v>
      </c>
      <c r="Z46" s="6">
        <f t="shared" si="21"/>
        <v>0</v>
      </c>
      <c r="AA46" s="6">
        <f t="shared" si="22"/>
        <v>0</v>
      </c>
      <c r="AB46" s="6">
        <f t="shared" si="23"/>
        <v>1</v>
      </c>
      <c r="AC46" s="6">
        <f t="shared" si="24"/>
        <v>-1</v>
      </c>
      <c r="AD46" s="6">
        <f t="shared" si="25"/>
        <v>-1</v>
      </c>
      <c r="AE46" s="6">
        <f t="shared" si="26"/>
        <v>1</v>
      </c>
      <c r="AF46" s="6">
        <f t="shared" si="27"/>
        <v>-1</v>
      </c>
      <c r="AG46" s="6">
        <f t="shared" si="28"/>
        <v>1</v>
      </c>
      <c r="AH46" s="6">
        <f t="shared" si="29"/>
        <v>1</v>
      </c>
      <c r="AI46" s="6">
        <f t="shared" si="30"/>
        <v>0</v>
      </c>
      <c r="AJ46" s="6">
        <f t="shared" si="31"/>
        <v>1</v>
      </c>
      <c r="AK46" s="6">
        <f t="shared" si="32"/>
        <v>-1</v>
      </c>
      <c r="AL46" s="6">
        <f t="shared" si="33"/>
        <v>-1</v>
      </c>
      <c r="AM46" s="6">
        <f t="shared" si="34"/>
        <v>1</v>
      </c>
      <c r="AN46" s="6">
        <f t="shared" si="35"/>
        <v>-1</v>
      </c>
      <c r="AO46" s="6">
        <f t="shared" si="36"/>
        <v>-1</v>
      </c>
      <c r="AP46" s="6">
        <f t="shared" si="37"/>
        <v>1</v>
      </c>
      <c r="AQ46" s="6">
        <f t="shared" si="38"/>
        <v>1</v>
      </c>
      <c r="AR46" s="6">
        <f t="shared" si="39"/>
        <v>1</v>
      </c>
      <c r="AS46" s="6">
        <f t="shared" si="40"/>
        <v>-1</v>
      </c>
      <c r="AT46" s="6">
        <f t="shared" si="41"/>
        <v>1</v>
      </c>
      <c r="AU46" s="6">
        <f t="shared" si="42"/>
        <v>-1</v>
      </c>
      <c r="AV46" s="6">
        <f t="shared" si="43"/>
        <v>-1</v>
      </c>
      <c r="AW46" s="6">
        <f t="shared" si="44"/>
        <v>1</v>
      </c>
      <c r="AX46" s="6">
        <f t="shared" si="45"/>
        <v>-1</v>
      </c>
      <c r="AY46" s="6">
        <f t="shared" si="46"/>
        <v>-1</v>
      </c>
      <c r="AZ46" s="6">
        <f t="shared" si="47"/>
        <v>-1</v>
      </c>
      <c r="BA46" s="6">
        <f>SIGN(($B$46-$B46)*($C$46-$C46))</f>
        <v>0</v>
      </c>
    </row>
    <row r="47">
      <c r="F47" s="9">
        <f>SUMSQ(F2:F46)</f>
        <v>15456</v>
      </c>
    </row>
    <row r="49">
      <c r="A49" s="3" t="s">
        <v>6</v>
      </c>
    </row>
    <row r="50">
      <c r="A50" s="3" t="s">
        <v>7</v>
      </c>
      <c r="B50" s="3">
        <f>1-(6*F47)/A46/(A46^2-1)</f>
        <v>-0.01818181818</v>
      </c>
      <c r="C50" s="3" t="s">
        <v>8</v>
      </c>
    </row>
    <row r="52">
      <c r="A52" s="3" t="s">
        <v>9</v>
      </c>
    </row>
    <row r="54">
      <c r="A54" s="3" t="s">
        <v>10</v>
      </c>
      <c r="B54" s="6">
        <f>COUNTIF(I2:BA46, 1)</f>
        <v>477</v>
      </c>
      <c r="D54" s="3" t="s">
        <v>11</v>
      </c>
    </row>
    <row r="55">
      <c r="A55" s="3" t="s">
        <v>12</v>
      </c>
      <c r="B55" s="6">
        <f>COUNTIF(I2:BA46, -1)</f>
        <v>471</v>
      </c>
      <c r="D55" s="3" t="s">
        <v>13</v>
      </c>
    </row>
    <row r="56">
      <c r="A56" s="3" t="s">
        <v>14</v>
      </c>
      <c r="B56" s="6">
        <f>COUNTIF(I2:BA46, 0) - 45</f>
        <v>42</v>
      </c>
    </row>
    <row r="57">
      <c r="A57" s="3" t="s">
        <v>15</v>
      </c>
      <c r="B57" s="6">
        <f>2*(B54-B55)/(A46*(A46-1))</f>
        <v>0.006060606061</v>
      </c>
      <c r="C57" s="3" t="s">
        <v>8</v>
      </c>
    </row>
    <row r="63">
      <c r="A63" s="3" t="s">
        <v>16</v>
      </c>
    </row>
    <row r="64">
      <c r="A64" s="3" t="s">
        <v>17</v>
      </c>
      <c r="B64" s="6">
        <f>B50*SQRT((A46-2)/(1-B50^2))</f>
        <v>-0.1192458667</v>
      </c>
    </row>
    <row r="65">
      <c r="A65" s="3" t="s">
        <v>18</v>
      </c>
      <c r="B65" s="3">
        <f>_xlfn.T.INV.2T(0.05,43)</f>
        <v>2.016692199</v>
      </c>
    </row>
    <row r="66">
      <c r="A66" s="3" t="s">
        <v>19</v>
      </c>
    </row>
    <row r="68">
      <c r="A68" s="3" t="s">
        <v>20</v>
      </c>
      <c r="F68" s="10" t="s">
        <v>21</v>
      </c>
    </row>
    <row r="69">
      <c r="A69" s="3" t="s">
        <v>22</v>
      </c>
      <c r="B69" s="3">
        <v>1.96</v>
      </c>
    </row>
    <row r="70">
      <c r="A70" s="3" t="s">
        <v>23</v>
      </c>
      <c r="B70" s="6">
        <f>B69*SQRT(2*(2*A46+5)/(9*A46*(A46-1)))</f>
        <v>0.2023853266</v>
      </c>
    </row>
    <row r="71">
      <c r="A71" s="3" t="s">
        <v>19</v>
      </c>
    </row>
  </sheetData>
  <hyperlinks>
    <hyperlink r:id="rId1" ref="F68"/>
  </hyperlinks>
  <drawing r:id="rId2"/>
</worksheet>
</file>