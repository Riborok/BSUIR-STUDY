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<sst xmlns="http://schemas.openxmlformats.org/spreadsheetml/2006/main" count="69" uniqueCount="51">
  <si>
    <t>t</t>
  </si>
  <si>
    <t>x1(t)</t>
  </si>
  <si>
    <t>x2(t)</t>
  </si>
  <si>
    <t>x3(t)</t>
  </si>
  <si>
    <t>y(t)</t>
  </si>
  <si>
    <t>SUMMARY OUTPUT</t>
  </si>
  <si>
    <t>Regression Statistics</t>
  </si>
  <si>
    <t>Multiple R</t>
  </si>
  <si>
    <t>R Square</t>
  </si>
  <si>
    <t>Adjusted R Square</t>
  </si>
  <si>
    <t>Критические значения Стьюдента</t>
  </si>
  <si>
    <t>Standard Error</t>
  </si>
  <si>
    <t>квантиль распределения Стьюдента</t>
  </si>
  <si>
    <t>Observations</t>
  </si>
  <si>
    <t>γ =</t>
  </si>
  <si>
    <t>ANOVA</t>
  </si>
  <si>
    <t>df</t>
  </si>
  <si>
    <t>SS</t>
  </si>
  <si>
    <t>MS</t>
  </si>
  <si>
    <t>F</t>
  </si>
  <si>
    <t>Significance F</t>
  </si>
  <si>
    <t>x1 не значим при 0,99</t>
  </si>
  <si>
    <t>Regression</t>
  </si>
  <si>
    <t>x2, x3 не значим при всех</t>
  </si>
  <si>
    <t>Residual</t>
  </si>
  <si>
    <t>x1 левый</t>
  </si>
  <si>
    <t>правый</t>
  </si>
  <si>
    <t>x2 левый</t>
  </si>
  <si>
    <t>x3 левый</t>
  </si>
  <si>
    <t>Total</t>
  </si>
  <si>
    <t>y1=0,9</t>
  </si>
  <si>
    <t>y2=0,95</t>
  </si>
  <si>
    <t>Coefficients</t>
  </si>
  <si>
    <t>t Stat</t>
  </si>
  <si>
    <t>P-value</t>
  </si>
  <si>
    <t>Lower 95%</t>
  </si>
  <si>
    <t>Upper 95%</t>
  </si>
  <si>
    <t>y3=0,99</t>
  </si>
  <si>
    <t>Intercept</t>
  </si>
  <si>
    <t>R^2=</t>
  </si>
  <si>
    <t>-&gt; модель не значима</t>
  </si>
  <si>
    <t>квантиль распределения Фишера</t>
  </si>
  <si>
    <t>RESIDUAL OUTPUT</t>
  </si>
  <si>
    <t>F =</t>
  </si>
  <si>
    <t>-&gt; модель не значима при 0.99</t>
  </si>
  <si>
    <t>Observation</t>
  </si>
  <si>
    <t>Predicted y(t)</t>
  </si>
  <si>
    <t>Residuals</t>
  </si>
  <si>
    <t>^y(t)</t>
  </si>
  <si>
    <t>ошибки</t>
  </si>
  <si>
    <t>Ошибки не случайны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</si>
</sst>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i/>
      <color theme="1"/>
      <name val="Arial"/>
      <scheme val="minor"/>
    </font>
    <font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0" fillId="0" fontId="3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vertical="bottom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0" fontId="6" numFmtId="0" xfId="0" applyAlignment="1" applyFont="1">
      <alignment horizontal="right" vertical="bottom"/>
    </xf>
    <xf borderId="0" fillId="3" fontId="6" numFmtId="0" xfId="0" applyAlignment="1" applyFill="1" applyFont="1">
      <alignment horizontal="right" vertical="bottom"/>
    </xf>
    <xf borderId="0" fillId="4" fontId="6" numFmtId="0" xfId="0" applyAlignment="1" applyFill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0" xfId="0" applyFont="1"/>
    <xf borderId="1" fillId="0" fontId="6" numFmtId="0" xfId="0" applyAlignment="1" applyBorder="1" applyFont="1">
      <alignment vertical="bottom"/>
    </xf>
    <xf borderId="3" fillId="0" fontId="3" numFmtId="0" xfId="0" applyBorder="1" applyFont="1"/>
    <xf borderId="1" fillId="0" fontId="6" numFmtId="0" xfId="0" applyAlignment="1" applyBorder="1" applyFont="1">
      <alignment horizontal="right" vertical="bottom"/>
    </xf>
    <xf borderId="3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3" numFmtId="0" xfId="0" applyBorder="1" applyFont="1"/>
    <xf borderId="1" fillId="2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относительно параметра "x1(t)"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'Лист1'!$B$2:$B$42</c:f>
            </c:numRef>
          </c:xVal>
          <c:yVal>
            <c:numRef>
              <c:f>'Лист1'!$E$2:$E$42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95907"/>
        <c:axId val="1298004226"/>
      </c:scatterChart>
      <c:valAx>
        <c:axId val="1927095907"/>
        <c:scaling>
          <c:orientation val="minMax"/>
          <c:max val="11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x1(t)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004226"/>
      </c:valAx>
      <c:valAx>
        <c:axId val="1298004226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095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относительно параметра "x2(t)"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'Лист1'!$C$2:$C$42</c:f>
            </c:numRef>
          </c:xVal>
          <c:yVal>
            <c:numRef>
              <c:f>'Лист1'!$E$2:$E$42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316159"/>
        <c:axId val="943860175"/>
      </c:scatterChart>
      <c:valAx>
        <c:axId val="2753161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860175"/>
      </c:valAx>
      <c:valAx>
        <c:axId val="943860175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316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ошибки x1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'Лист1'!$B$123:$B$163</c:f>
            </c:numRef>
          </c:xVal>
          <c:yVal>
            <c:numRef>
              <c:f>'Лист1'!$G$123:$G$164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655933"/>
        <c:axId val="1353037577"/>
      </c:scatterChart>
      <c:valAx>
        <c:axId val="19006559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037577"/>
      </c:valAx>
      <c:valAx>
        <c:axId val="1353037577"/>
        <c:scaling>
          <c:orientation val="minMax"/>
          <c:max val="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655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ошибки x2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'Лист1'!$C$123:$C$163</c:f>
            </c:numRef>
          </c:xVal>
          <c:yVal>
            <c:numRef>
              <c:f>'Лист1'!$G$123:$G$164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732503"/>
        <c:axId val="1056360979"/>
      </c:scatterChart>
      <c:valAx>
        <c:axId val="10667325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360979"/>
      </c:valAx>
      <c:valAx>
        <c:axId val="1056360979"/>
        <c:scaling>
          <c:orientation val="minMax"/>
          <c:max val="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732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ошибки x3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'Лист1'!$G$122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'Лист1'!$D$123:$D$163</c:f>
            </c:numRef>
          </c:xVal>
          <c:yVal>
            <c:numRef>
              <c:f>'Лист1'!$G$123:$G$164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682018"/>
        <c:axId val="1827430952"/>
      </c:scatterChart>
      <c:valAx>
        <c:axId val="12996820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ошибки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430952"/>
      </c:valAx>
      <c:valAx>
        <c:axId val="1827430952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682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yt(x1t) + ^yt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'Лист1'!$E$122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'Лист1'!$B$123:$B$163</c:f>
            </c:numRef>
          </c:xVal>
          <c:yVal>
            <c:numRef>
              <c:f>'Лист1'!$E$123:$E$163</c:f>
              <c:numCache/>
            </c:numRef>
          </c:yVal>
        </c:ser>
        <c:ser>
          <c:idx val="1"/>
          <c:order val="1"/>
          <c:tx>
            <c:strRef>
              <c:f>'Лист1'!$F$122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'Лист1'!$B$123:$B$163</c:f>
            </c:numRef>
          </c:xVal>
          <c:yVal>
            <c:numRef>
              <c:f>'Лист1'!$F$123:$F$163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09288"/>
        <c:axId val="703910924"/>
      </c:scatterChart>
      <c:valAx>
        <c:axId val="4191092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910924"/>
      </c:valAx>
      <c:valAx>
        <c:axId val="703910924"/>
        <c:scaling>
          <c:orientation val="minMax"/>
          <c:max val="4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109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yt(x2t) + ^yt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'Лист1'!$E$122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'Лист1'!$C$123:$C$163</c:f>
            </c:numRef>
          </c:xVal>
          <c:yVal>
            <c:numRef>
              <c:f>'Лист1'!$E$123:$E$163</c:f>
              <c:numCache/>
            </c:numRef>
          </c:yVal>
        </c:ser>
        <c:ser>
          <c:idx val="1"/>
          <c:order val="1"/>
          <c:tx>
            <c:strRef>
              <c:f>'Лист1'!$F$122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'Лист1'!$C$123:$C$163</c:f>
            </c:numRef>
          </c:xVal>
          <c:yVal>
            <c:numRef>
              <c:f>'Лист1'!$F$123:$F$163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961630"/>
        <c:axId val="1022678233"/>
      </c:scatterChart>
      <c:valAx>
        <c:axId val="1620961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678233"/>
      </c:valAx>
      <c:valAx>
        <c:axId val="1022678233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961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yt(x3t) + ^yt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'Лист1'!$E$122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'Лист1'!$D$123:$D$163</c:f>
            </c:numRef>
          </c:xVal>
          <c:yVal>
            <c:numRef>
              <c:f>'Лист1'!$E$123:$E$163</c:f>
              <c:numCache/>
            </c:numRef>
          </c:yVal>
        </c:ser>
        <c:ser>
          <c:idx val="1"/>
          <c:order val="1"/>
          <c:tx>
            <c:strRef>
              <c:f>'Лист1'!$F$122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'Лист1'!$D$123:$D$163</c:f>
            </c:numRef>
          </c:xVal>
          <c:yVal>
            <c:numRef>
              <c:f>'Лист1'!$F$123:$F$163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649653"/>
        <c:axId val="80291909"/>
      </c:scatterChart>
      <c:valAx>
        <c:axId val="2816496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91909"/>
      </c:valAx>
      <c:valAx>
        <c:axId val="80291909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649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относительно параметра "x3(t)"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'Лист1'!$D$2:$D$42</c:f>
            </c:numRef>
          </c:xVal>
          <c:yVal>
            <c:numRef>
              <c:f>'Лист1'!$E$2:$E$42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45559"/>
        <c:axId val="1525700060"/>
      </c:scatterChart>
      <c:valAx>
        <c:axId val="15454455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700060"/>
      </c:valAx>
      <c:valAx>
        <c:axId val="1525700060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4455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57150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561975</xdr:colOff>
      <xdr:row>0</xdr:row>
      <xdr:rowOff>57150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609600</xdr:colOff>
      <xdr:row>164</xdr:row>
      <xdr:rowOff>104775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895350</xdr:colOff>
      <xdr:row>164</xdr:row>
      <xdr:rowOff>104775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609600</xdr:colOff>
      <xdr:row>183</xdr:row>
      <xdr:rowOff>57150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466725</xdr:colOff>
      <xdr:row>120</xdr:row>
      <xdr:rowOff>190500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819150</xdr:colOff>
      <xdr:row>120</xdr:row>
      <xdr:rowOff>190500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533400</xdr:colOff>
      <xdr:row>138</xdr:row>
      <xdr:rowOff>123825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200025</xdr:colOff>
      <xdr:row>17</xdr:row>
      <xdr:rowOff>76200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>
        <v>73.8</v>
      </c>
      <c r="C2" s="5">
        <v>5.0</v>
      </c>
      <c r="D2" s="5">
        <f t="shared" ref="D2:D42" si="1">2025-S2</f>
        <v>0</v>
      </c>
      <c r="E2" s="4">
        <v>107010.0</v>
      </c>
      <c r="S2" s="5">
        <v>2025.0</v>
      </c>
    </row>
    <row r="3">
      <c r="A3" s="3">
        <v>2.0</v>
      </c>
      <c r="B3" s="4">
        <v>98.1</v>
      </c>
      <c r="C3" s="5">
        <v>6.0</v>
      </c>
      <c r="D3" s="5">
        <f t="shared" si="1"/>
        <v>10</v>
      </c>
      <c r="E3" s="4">
        <v>235000.0</v>
      </c>
      <c r="S3" s="5">
        <v>2015.0</v>
      </c>
    </row>
    <row r="4">
      <c r="A4" s="3">
        <v>3.0</v>
      </c>
      <c r="B4" s="4">
        <v>76.9</v>
      </c>
      <c r="C4" s="5">
        <v>2.0</v>
      </c>
      <c r="D4" s="5">
        <f t="shared" si="1"/>
        <v>13</v>
      </c>
      <c r="E4" s="4">
        <v>169000.0</v>
      </c>
      <c r="S4" s="5">
        <v>2012.0</v>
      </c>
    </row>
    <row r="5">
      <c r="A5" s="3">
        <v>4.0</v>
      </c>
      <c r="B5" s="5">
        <v>45.0</v>
      </c>
      <c r="C5" s="5">
        <v>4.0</v>
      </c>
      <c r="D5" s="5">
        <f t="shared" si="1"/>
        <v>63</v>
      </c>
      <c r="E5" s="4">
        <v>74000.0</v>
      </c>
      <c r="S5" s="5">
        <v>1962.0</v>
      </c>
    </row>
    <row r="6">
      <c r="A6" s="3">
        <v>5.0</v>
      </c>
      <c r="B6" s="5">
        <v>55.6</v>
      </c>
      <c r="C6" s="5">
        <v>7.0</v>
      </c>
      <c r="D6" s="5">
        <f t="shared" si="1"/>
        <v>47</v>
      </c>
      <c r="E6" s="4">
        <v>108000.0</v>
      </c>
      <c r="S6" s="5">
        <v>1978.0</v>
      </c>
    </row>
    <row r="7">
      <c r="A7" s="3">
        <v>6.0</v>
      </c>
      <c r="B7" s="5">
        <v>122.0</v>
      </c>
      <c r="C7" s="5">
        <v>30.0</v>
      </c>
      <c r="D7" s="5">
        <f t="shared" si="1"/>
        <v>3</v>
      </c>
      <c r="E7" s="4">
        <v>498000.0</v>
      </c>
      <c r="S7" s="5">
        <v>2022.0</v>
      </c>
    </row>
    <row r="8">
      <c r="A8" s="3">
        <v>7.0</v>
      </c>
      <c r="B8" s="5">
        <v>48.9</v>
      </c>
      <c r="C8" s="5">
        <v>2.0</v>
      </c>
      <c r="D8" s="5">
        <f t="shared" si="1"/>
        <v>39</v>
      </c>
      <c r="E8" s="5">
        <v>99900.0</v>
      </c>
      <c r="S8" s="5">
        <v>1986.0</v>
      </c>
    </row>
    <row r="9">
      <c r="A9" s="3">
        <v>8.0</v>
      </c>
      <c r="B9" s="5">
        <v>41.15</v>
      </c>
      <c r="C9" s="5">
        <v>10.0</v>
      </c>
      <c r="D9" s="5">
        <f t="shared" si="1"/>
        <v>0</v>
      </c>
      <c r="E9" s="5">
        <v>876415.0</v>
      </c>
      <c r="S9" s="5">
        <v>2025.0</v>
      </c>
    </row>
    <row r="10">
      <c r="A10" s="3">
        <v>9.0</v>
      </c>
      <c r="B10" s="5">
        <v>42.1</v>
      </c>
      <c r="C10" s="5">
        <v>4.0</v>
      </c>
      <c r="D10" s="5">
        <f t="shared" si="1"/>
        <v>5</v>
      </c>
      <c r="E10" s="5">
        <v>121000.0</v>
      </c>
      <c r="S10" s="5">
        <v>2020.0</v>
      </c>
    </row>
    <row r="11">
      <c r="A11" s="3">
        <v>10.0</v>
      </c>
      <c r="B11" s="5">
        <v>175.6</v>
      </c>
      <c r="C11" s="5">
        <v>5.0</v>
      </c>
      <c r="D11" s="5">
        <f t="shared" si="1"/>
        <v>0</v>
      </c>
      <c r="E11" s="5">
        <v>320000.0</v>
      </c>
      <c r="S11" s="5">
        <v>2025.0</v>
      </c>
    </row>
    <row r="12">
      <c r="A12" s="3">
        <v>11.0</v>
      </c>
      <c r="B12" s="5">
        <v>56.6</v>
      </c>
      <c r="C12" s="5">
        <v>2.0</v>
      </c>
      <c r="D12" s="5">
        <f t="shared" si="1"/>
        <v>0</v>
      </c>
      <c r="E12" s="5">
        <v>97900.0</v>
      </c>
      <c r="S12" s="5">
        <v>2025.0</v>
      </c>
    </row>
    <row r="13">
      <c r="A13" s="3">
        <v>12.0</v>
      </c>
      <c r="B13" s="5">
        <v>79.3</v>
      </c>
      <c r="C13" s="5">
        <v>5.0</v>
      </c>
      <c r="D13" s="5">
        <f t="shared" si="1"/>
        <v>14</v>
      </c>
      <c r="E13" s="5">
        <v>135000.0</v>
      </c>
      <c r="S13" s="5">
        <v>2011.0</v>
      </c>
    </row>
    <row r="14">
      <c r="A14" s="3">
        <v>13.0</v>
      </c>
      <c r="B14" s="5">
        <v>32.2</v>
      </c>
      <c r="C14" s="5">
        <v>5.0</v>
      </c>
      <c r="D14" s="5">
        <f t="shared" si="1"/>
        <v>2</v>
      </c>
      <c r="E14" s="5">
        <v>112900.0</v>
      </c>
      <c r="S14" s="5">
        <v>2023.0</v>
      </c>
    </row>
    <row r="15">
      <c r="A15" s="3">
        <v>14.0</v>
      </c>
      <c r="B15" s="5">
        <v>107.7</v>
      </c>
      <c r="C15" s="5">
        <v>16.0</v>
      </c>
      <c r="D15" s="5">
        <f t="shared" si="1"/>
        <v>21</v>
      </c>
      <c r="E15" s="5">
        <v>235000.0</v>
      </c>
      <c r="S15" s="5">
        <v>2004.0</v>
      </c>
    </row>
    <row r="16">
      <c r="A16" s="3">
        <v>15.0</v>
      </c>
      <c r="B16" s="5">
        <v>65.5</v>
      </c>
      <c r="C16" s="5">
        <v>2.0</v>
      </c>
      <c r="D16" s="5">
        <f t="shared" si="1"/>
        <v>19</v>
      </c>
      <c r="E16" s="5">
        <v>218000.0</v>
      </c>
      <c r="S16" s="5">
        <v>2006.0</v>
      </c>
    </row>
    <row r="17">
      <c r="A17" s="3">
        <v>16.0</v>
      </c>
      <c r="B17" s="5">
        <v>35.3</v>
      </c>
      <c r="C17" s="5">
        <v>2.0</v>
      </c>
      <c r="D17" s="5">
        <f t="shared" si="1"/>
        <v>21</v>
      </c>
      <c r="E17" s="5">
        <v>63000.0</v>
      </c>
      <c r="S17" s="5">
        <v>2004.0</v>
      </c>
    </row>
    <row r="18">
      <c r="A18" s="3">
        <v>17.0</v>
      </c>
      <c r="B18" s="5">
        <v>45.8</v>
      </c>
      <c r="C18" s="5">
        <v>7.0</v>
      </c>
      <c r="D18" s="5">
        <f t="shared" si="1"/>
        <v>2</v>
      </c>
      <c r="E18" s="5">
        <v>84000.0</v>
      </c>
      <c r="S18" s="5">
        <v>2023.0</v>
      </c>
    </row>
    <row r="19">
      <c r="A19" s="3">
        <v>18.0</v>
      </c>
      <c r="B19" s="5">
        <v>94.2</v>
      </c>
      <c r="C19" s="5">
        <v>12.0</v>
      </c>
      <c r="D19" s="5">
        <f t="shared" si="1"/>
        <v>8</v>
      </c>
      <c r="E19" s="5">
        <v>189000.0</v>
      </c>
      <c r="S19" s="5">
        <v>2017.0</v>
      </c>
    </row>
    <row r="20">
      <c r="A20" s="3">
        <v>19.0</v>
      </c>
      <c r="B20" s="5">
        <v>58.3</v>
      </c>
      <c r="C20" s="5">
        <v>13.0</v>
      </c>
      <c r="D20" s="5">
        <f t="shared" si="1"/>
        <v>1</v>
      </c>
      <c r="E20" s="5">
        <v>129000.0</v>
      </c>
      <c r="S20" s="5">
        <v>2024.0</v>
      </c>
    </row>
    <row r="21">
      <c r="A21" s="3">
        <v>20.0</v>
      </c>
      <c r="B21" s="5">
        <v>58.2</v>
      </c>
      <c r="C21" s="5">
        <v>8.0</v>
      </c>
      <c r="D21" s="5">
        <f t="shared" si="1"/>
        <v>2</v>
      </c>
      <c r="E21" s="5">
        <v>104900.0</v>
      </c>
      <c r="S21" s="5">
        <v>2023.0</v>
      </c>
    </row>
    <row r="22">
      <c r="A22" s="3">
        <v>21.0</v>
      </c>
      <c r="B22" s="5">
        <v>133.1</v>
      </c>
      <c r="C22" s="5">
        <v>4.0</v>
      </c>
      <c r="D22" s="5">
        <f t="shared" si="1"/>
        <v>18</v>
      </c>
      <c r="E22" s="5">
        <v>284900.0</v>
      </c>
      <c r="S22" s="5">
        <v>2007.0</v>
      </c>
    </row>
    <row r="23">
      <c r="A23" s="3">
        <v>22.0</v>
      </c>
      <c r="B23" s="5">
        <v>63.5</v>
      </c>
      <c r="C23" s="5">
        <v>10.0</v>
      </c>
      <c r="D23" s="5">
        <f t="shared" si="1"/>
        <v>0</v>
      </c>
      <c r="E23" s="5">
        <v>132700.0</v>
      </c>
      <c r="S23" s="5">
        <v>2025.0</v>
      </c>
    </row>
    <row r="24">
      <c r="A24" s="3">
        <v>23.0</v>
      </c>
      <c r="B24" s="5">
        <v>55.6</v>
      </c>
      <c r="C24" s="5">
        <v>22.0</v>
      </c>
      <c r="D24" s="5">
        <f t="shared" si="1"/>
        <v>4</v>
      </c>
      <c r="E24" s="5">
        <v>144900.0</v>
      </c>
      <c r="S24" s="5">
        <v>2021.0</v>
      </c>
    </row>
    <row r="25">
      <c r="A25" s="3">
        <v>24.0</v>
      </c>
      <c r="B25" s="5">
        <v>61.0</v>
      </c>
      <c r="C25" s="5">
        <v>7.0</v>
      </c>
      <c r="D25" s="5">
        <f t="shared" si="1"/>
        <v>17</v>
      </c>
      <c r="E25" s="5">
        <v>117500.0</v>
      </c>
      <c r="S25" s="5">
        <v>2008.0</v>
      </c>
    </row>
    <row r="26">
      <c r="A26" s="3">
        <v>25.0</v>
      </c>
      <c r="B26" s="5">
        <v>35.2</v>
      </c>
      <c r="C26" s="5">
        <v>1.0</v>
      </c>
      <c r="D26" s="5">
        <f t="shared" si="1"/>
        <v>38</v>
      </c>
      <c r="E26" s="5">
        <v>87500.0</v>
      </c>
      <c r="S26" s="5">
        <v>1987.0</v>
      </c>
    </row>
    <row r="27">
      <c r="A27" s="3">
        <v>26.0</v>
      </c>
      <c r="B27" s="5">
        <v>34.9</v>
      </c>
      <c r="C27" s="5">
        <v>8.0</v>
      </c>
      <c r="D27" s="5">
        <f t="shared" si="1"/>
        <v>49</v>
      </c>
      <c r="E27" s="5">
        <v>65000.0</v>
      </c>
      <c r="S27" s="5">
        <v>1976.0</v>
      </c>
    </row>
    <row r="28">
      <c r="A28" s="3">
        <v>27.0</v>
      </c>
      <c r="B28" s="5">
        <v>32.0</v>
      </c>
      <c r="C28" s="5">
        <v>2.0</v>
      </c>
      <c r="D28" s="5">
        <f t="shared" si="1"/>
        <v>64</v>
      </c>
      <c r="E28" s="5">
        <v>63700.0</v>
      </c>
      <c r="S28" s="5">
        <v>1961.0</v>
      </c>
    </row>
    <row r="29">
      <c r="A29" s="3">
        <v>28.0</v>
      </c>
      <c r="B29" s="5">
        <v>34.6</v>
      </c>
      <c r="C29" s="5">
        <v>9.0</v>
      </c>
      <c r="D29" s="5">
        <f t="shared" si="1"/>
        <v>2</v>
      </c>
      <c r="E29" s="5">
        <v>87500.0</v>
      </c>
      <c r="S29" s="5">
        <v>2023.0</v>
      </c>
    </row>
    <row r="30">
      <c r="A30" s="3">
        <v>29.0</v>
      </c>
      <c r="B30" s="5">
        <v>44.9</v>
      </c>
      <c r="C30" s="5">
        <v>11.0</v>
      </c>
      <c r="D30" s="5">
        <f t="shared" si="1"/>
        <v>15</v>
      </c>
      <c r="E30" s="5">
        <v>77900.0</v>
      </c>
      <c r="S30" s="5">
        <v>2010.0</v>
      </c>
    </row>
    <row r="31">
      <c r="A31" s="3">
        <v>30.0</v>
      </c>
      <c r="B31" s="5">
        <v>90.3</v>
      </c>
      <c r="C31" s="5">
        <v>16.0</v>
      </c>
      <c r="D31" s="5">
        <f t="shared" si="1"/>
        <v>0</v>
      </c>
      <c r="E31" s="5">
        <v>190000.0</v>
      </c>
      <c r="S31" s="5">
        <v>2025.0</v>
      </c>
    </row>
    <row r="32">
      <c r="A32" s="3">
        <v>31.0</v>
      </c>
      <c r="B32" s="5">
        <v>26.1</v>
      </c>
      <c r="C32" s="5">
        <v>24.0</v>
      </c>
      <c r="D32" s="5">
        <f t="shared" si="1"/>
        <v>3</v>
      </c>
      <c r="E32" s="5">
        <v>87000.0</v>
      </c>
      <c r="S32" s="5">
        <v>2022.0</v>
      </c>
    </row>
    <row r="33">
      <c r="A33" s="3">
        <v>32.0</v>
      </c>
      <c r="B33" s="5">
        <v>39.5</v>
      </c>
      <c r="C33" s="5">
        <v>18.0</v>
      </c>
      <c r="D33" s="5">
        <f t="shared" si="1"/>
        <v>4</v>
      </c>
      <c r="E33" s="5">
        <v>109000.0</v>
      </c>
      <c r="S33" s="5">
        <v>2021.0</v>
      </c>
    </row>
    <row r="34">
      <c r="A34" s="3">
        <v>33.0</v>
      </c>
      <c r="B34" s="5">
        <v>68.4</v>
      </c>
      <c r="C34" s="5">
        <v>7.0</v>
      </c>
      <c r="D34" s="5">
        <f t="shared" si="1"/>
        <v>8</v>
      </c>
      <c r="E34" s="5">
        <v>130000.0</v>
      </c>
      <c r="S34" s="5">
        <v>2017.0</v>
      </c>
    </row>
    <row r="35">
      <c r="A35" s="3">
        <v>34.0</v>
      </c>
      <c r="B35" s="5">
        <v>49.9</v>
      </c>
      <c r="C35" s="5">
        <v>5.0</v>
      </c>
      <c r="D35" s="5">
        <f t="shared" si="1"/>
        <v>56</v>
      </c>
      <c r="E35" s="5">
        <v>104000.0</v>
      </c>
      <c r="S35" s="5">
        <v>1969.0</v>
      </c>
    </row>
    <row r="36">
      <c r="A36" s="3">
        <v>35.0</v>
      </c>
      <c r="B36" s="5">
        <v>57.1</v>
      </c>
      <c r="C36" s="5">
        <v>2.0</v>
      </c>
      <c r="D36" s="5">
        <f t="shared" si="1"/>
        <v>1</v>
      </c>
      <c r="E36" s="5">
        <v>135000.0</v>
      </c>
      <c r="S36" s="5">
        <v>2024.0</v>
      </c>
    </row>
    <row r="37">
      <c r="A37" s="3">
        <v>36.0</v>
      </c>
      <c r="B37" s="5">
        <v>37.5</v>
      </c>
      <c r="C37" s="5">
        <v>24.0</v>
      </c>
      <c r="D37" s="5">
        <f t="shared" si="1"/>
        <v>0</v>
      </c>
      <c r="E37" s="5">
        <v>93000.0</v>
      </c>
      <c r="S37" s="5">
        <v>2025.0</v>
      </c>
    </row>
    <row r="38">
      <c r="A38" s="3">
        <v>37.0</v>
      </c>
      <c r="B38" s="5">
        <v>60.0</v>
      </c>
      <c r="C38" s="5">
        <v>2.0</v>
      </c>
      <c r="D38" s="5">
        <f t="shared" si="1"/>
        <v>0</v>
      </c>
      <c r="E38" s="5">
        <v>112000.0</v>
      </c>
      <c r="S38" s="5">
        <v>2025.0</v>
      </c>
    </row>
    <row r="39">
      <c r="A39" s="3">
        <v>38.0</v>
      </c>
      <c r="B39" s="5">
        <v>30.3</v>
      </c>
      <c r="C39" s="5">
        <v>1.0</v>
      </c>
      <c r="D39" s="5">
        <f t="shared" si="1"/>
        <v>64</v>
      </c>
      <c r="E39" s="5">
        <v>58000.0</v>
      </c>
      <c r="S39" s="5">
        <v>1961.0</v>
      </c>
    </row>
    <row r="40">
      <c r="A40" s="3">
        <v>39.0</v>
      </c>
      <c r="B40" s="5">
        <v>33.3</v>
      </c>
      <c r="C40" s="5">
        <v>5.0</v>
      </c>
      <c r="D40" s="5">
        <f t="shared" si="1"/>
        <v>51</v>
      </c>
      <c r="E40" s="5">
        <v>64900.0</v>
      </c>
      <c r="S40" s="5">
        <v>1974.0</v>
      </c>
    </row>
    <row r="41">
      <c r="A41" s="3">
        <v>40.0</v>
      </c>
      <c r="B41" s="5">
        <v>58.9</v>
      </c>
      <c r="C41" s="5">
        <v>10.0</v>
      </c>
      <c r="D41" s="5">
        <f t="shared" si="1"/>
        <v>3</v>
      </c>
      <c r="E41" s="5">
        <v>115000.0</v>
      </c>
      <c r="S41" s="5">
        <v>2022.0</v>
      </c>
    </row>
    <row r="42">
      <c r="A42" s="3">
        <v>41.0</v>
      </c>
      <c r="B42" s="5">
        <v>49.8</v>
      </c>
      <c r="C42" s="5">
        <v>2.0</v>
      </c>
      <c r="D42" s="5">
        <f t="shared" si="1"/>
        <v>35</v>
      </c>
      <c r="E42" s="5">
        <v>101000.0</v>
      </c>
      <c r="S42" s="5">
        <v>1990.0</v>
      </c>
    </row>
    <row r="50">
      <c r="A50" s="6" t="s">
        <v>5</v>
      </c>
    </row>
    <row r="52">
      <c r="A52" s="7" t="s">
        <v>6</v>
      </c>
      <c r="B52" s="8"/>
    </row>
    <row r="53">
      <c r="A53" s="6" t="s">
        <v>7</v>
      </c>
      <c r="B53" s="9">
        <v>0.4709236382866481</v>
      </c>
    </row>
    <row r="54">
      <c r="A54" s="6" t="s">
        <v>8</v>
      </c>
      <c r="B54" s="9">
        <v>0.22176907309713378</v>
      </c>
    </row>
    <row r="55">
      <c r="A55" s="6" t="s">
        <v>9</v>
      </c>
      <c r="B55" s="9">
        <v>0.15866926821311755</v>
      </c>
      <c r="K55" s="10" t="s">
        <v>10</v>
      </c>
      <c r="N55" s="11"/>
    </row>
    <row r="56">
      <c r="A56" s="6" t="s">
        <v>11</v>
      </c>
      <c r="B56" s="9">
        <v>130567.16181937551</v>
      </c>
      <c r="K56" s="11" t="s">
        <v>12</v>
      </c>
      <c r="L56" s="11"/>
      <c r="M56" s="11"/>
      <c r="N56" s="11"/>
    </row>
    <row r="57">
      <c r="A57" s="12" t="s">
        <v>13</v>
      </c>
      <c r="B57" s="13">
        <v>41.0</v>
      </c>
      <c r="K57" s="11" t="s">
        <v>14</v>
      </c>
      <c r="L57" s="14">
        <v>0.9</v>
      </c>
      <c r="M57" s="11"/>
      <c r="N57" s="15">
        <f t="shared" ref="N57:N59" si="2">TINV(1-L57,COUNT($A$2:$A$42)-1-3)</f>
        <v>1.68709362</v>
      </c>
    </row>
    <row r="58">
      <c r="K58" s="11" t="s">
        <v>14</v>
      </c>
      <c r="L58" s="14">
        <v>0.95</v>
      </c>
      <c r="M58" s="11"/>
      <c r="N58" s="15">
        <f t="shared" si="2"/>
        <v>2.026192463</v>
      </c>
    </row>
    <row r="59">
      <c r="A59" s="6" t="s">
        <v>15</v>
      </c>
      <c r="K59" s="11" t="s">
        <v>14</v>
      </c>
      <c r="L59" s="14">
        <v>0.99</v>
      </c>
      <c r="M59" s="11"/>
      <c r="N59" s="15">
        <f t="shared" si="2"/>
        <v>2.715408722</v>
      </c>
    </row>
    <row r="60">
      <c r="A60" s="8"/>
      <c r="B60" s="7" t="s">
        <v>16</v>
      </c>
      <c r="C60" s="7" t="s">
        <v>17</v>
      </c>
      <c r="D60" s="7" t="s">
        <v>18</v>
      </c>
      <c r="E60" s="7" t="s">
        <v>19</v>
      </c>
      <c r="F60" s="7" t="s">
        <v>20</v>
      </c>
      <c r="K60" s="16" t="s">
        <v>21</v>
      </c>
      <c r="M60" s="11"/>
      <c r="N60" s="11"/>
    </row>
    <row r="61">
      <c r="A61" s="6" t="s">
        <v>22</v>
      </c>
      <c r="B61" s="9">
        <v>3.0</v>
      </c>
      <c r="C61" s="9">
        <v>1.7974720555304553E11</v>
      </c>
      <c r="D61" s="9">
        <v>5.991573518434851E10</v>
      </c>
      <c r="E61" s="9">
        <v>3.5145762099386473</v>
      </c>
      <c r="F61" s="9">
        <v>0.024436696241720735</v>
      </c>
      <c r="K61" s="17" t="s">
        <v>23</v>
      </c>
      <c r="L61" s="18"/>
    </row>
    <row r="62">
      <c r="A62" s="6" t="s">
        <v>24</v>
      </c>
      <c r="B62" s="9">
        <v>37.0</v>
      </c>
      <c r="C62" s="9">
        <v>6.307679985859786E11</v>
      </c>
      <c r="D62" s="9">
        <v>1.704778374556699E10</v>
      </c>
      <c r="K62" s="19"/>
      <c r="L62" s="19" t="s">
        <v>25</v>
      </c>
      <c r="M62" s="19" t="s">
        <v>26</v>
      </c>
      <c r="N62" s="19" t="s">
        <v>27</v>
      </c>
      <c r="O62" s="19" t="s">
        <v>26</v>
      </c>
      <c r="P62" s="19" t="s">
        <v>28</v>
      </c>
      <c r="Q62" s="19" t="s">
        <v>26</v>
      </c>
    </row>
    <row r="63">
      <c r="A63" s="12" t="s">
        <v>29</v>
      </c>
      <c r="B63" s="13">
        <v>40.0</v>
      </c>
      <c r="C63" s="13">
        <v>8.105152041390242E11</v>
      </c>
      <c r="D63" s="20"/>
      <c r="E63" s="20"/>
      <c r="F63" s="20"/>
      <c r="K63" s="19" t="s">
        <v>30</v>
      </c>
      <c r="L63" s="21">
        <f t="shared" ref="L63:L65" si="3">$B$67-$N57*$C$67 * SQRT(41/37)</f>
        <v>367.3927081</v>
      </c>
      <c r="M63" s="21">
        <f t="shared" ref="M63:M65" si="4">$B$67+$N57*$C$67 * SQRT(41/37)</f>
        <v>2841.155506</v>
      </c>
      <c r="N63" s="21">
        <f t="shared" ref="N63:N65" si="5">$B$68-$N57*$C$68 * SQRT(41/37)</f>
        <v>-2456.28128</v>
      </c>
      <c r="O63" s="21">
        <f t="shared" ref="O63:O65" si="6">$B$68+$N57*$C$68 * SQRT(41/37)</f>
        <v>8810.915923</v>
      </c>
      <c r="P63" s="21">
        <f t="shared" ref="P63:P65" si="7">$B$69-$N57*$C$68 * SQRT(41/37)</f>
        <v>-6509.401993</v>
      </c>
      <c r="Q63" s="21">
        <f t="shared" ref="Q63:Q65" si="8">$B$69+$N57*$C$68 * SQRT(41/37)</f>
        <v>4757.79521</v>
      </c>
    </row>
    <row r="64">
      <c r="K64" s="19" t="s">
        <v>31</v>
      </c>
      <c r="L64" s="21">
        <f t="shared" si="3"/>
        <v>118.7846599</v>
      </c>
      <c r="M64" s="21">
        <f t="shared" si="4"/>
        <v>3089.763554</v>
      </c>
      <c r="N64" s="21">
        <f t="shared" si="5"/>
        <v>-3588.611311</v>
      </c>
      <c r="O64" s="21">
        <f t="shared" si="6"/>
        <v>9943.245954</v>
      </c>
      <c r="P64" s="21">
        <f t="shared" si="7"/>
        <v>-7641.732024</v>
      </c>
      <c r="Q64" s="21">
        <f t="shared" si="8"/>
        <v>5890.125241</v>
      </c>
    </row>
    <row r="65">
      <c r="A65" s="8"/>
      <c r="B65" s="7" t="s">
        <v>32</v>
      </c>
      <c r="C65" s="7" t="s">
        <v>11</v>
      </c>
      <c r="D65" s="7" t="s">
        <v>33</v>
      </c>
      <c r="E65" s="7" t="s">
        <v>34</v>
      </c>
      <c r="F65" s="7" t="s">
        <v>35</v>
      </c>
      <c r="G65" s="7" t="s">
        <v>36</v>
      </c>
      <c r="H65" s="7" t="s">
        <v>35</v>
      </c>
      <c r="I65" s="7" t="s">
        <v>36</v>
      </c>
      <c r="K65" s="19" t="s">
        <v>37</v>
      </c>
      <c r="L65" s="21">
        <f t="shared" si="3"/>
        <v>-386.5096284</v>
      </c>
      <c r="M65" s="21">
        <f t="shared" si="4"/>
        <v>3595.057842</v>
      </c>
      <c r="N65" s="21">
        <f t="shared" si="5"/>
        <v>-5890.06495</v>
      </c>
      <c r="O65" s="21">
        <f t="shared" si="6"/>
        <v>12244.69959</v>
      </c>
      <c r="P65" s="21">
        <f t="shared" si="7"/>
        <v>-9943.185663</v>
      </c>
      <c r="Q65" s="21">
        <f t="shared" si="8"/>
        <v>8191.578879</v>
      </c>
    </row>
    <row r="66">
      <c r="A66" s="6" t="s">
        <v>38</v>
      </c>
      <c r="B66" s="9">
        <v>45312.75470022019</v>
      </c>
      <c r="C66" s="9">
        <v>64168.146796101646</v>
      </c>
      <c r="D66" s="9">
        <v>0.7061565116443886</v>
      </c>
      <c r="E66" s="9">
        <v>0.48451388092365366</v>
      </c>
      <c r="F66" s="9">
        <v>-84704.25970144256</v>
      </c>
      <c r="G66" s="9">
        <v>175329.76910188294</v>
      </c>
      <c r="H66" s="9">
        <v>-84704.25970144256</v>
      </c>
      <c r="I66" s="9">
        <v>175329.76910188294</v>
      </c>
      <c r="K66" s="11"/>
      <c r="L66" s="11"/>
      <c r="M66" s="11"/>
      <c r="N66" s="11"/>
      <c r="O66" s="11"/>
      <c r="P66" s="11"/>
      <c r="Q66" s="11"/>
    </row>
    <row r="67">
      <c r="A67" s="22" t="s">
        <v>1</v>
      </c>
      <c r="B67" s="13">
        <v>1604.2741068057308</v>
      </c>
      <c r="C67" s="13">
        <v>696.4626147356844</v>
      </c>
      <c r="D67" s="13">
        <v>2.3034604770775404</v>
      </c>
      <c r="E67" s="13">
        <v>0.026972850241539507</v>
      </c>
      <c r="F67" s="13">
        <v>193.10681693457627</v>
      </c>
      <c r="G67" s="13">
        <v>3015.4413966768852</v>
      </c>
      <c r="H67" s="13">
        <v>193.10681693457627</v>
      </c>
      <c r="I67" s="13">
        <v>3015.4413966768852</v>
      </c>
      <c r="K67" s="11"/>
      <c r="L67" s="11"/>
      <c r="M67" s="11"/>
      <c r="N67" s="11"/>
      <c r="O67" s="11"/>
      <c r="P67" s="11"/>
      <c r="Q67" s="11"/>
    </row>
    <row r="68">
      <c r="A68" s="23" t="s">
        <v>2</v>
      </c>
      <c r="B68" s="9">
        <v>3177.317321328853</v>
      </c>
      <c r="C68" s="9">
        <v>3172.16413502569</v>
      </c>
      <c r="D68" s="9">
        <v>1.0016245017861036</v>
      </c>
      <c r="E68" s="9">
        <v>0.3230308504959925</v>
      </c>
      <c r="F68" s="9">
        <v>-3250.0976909608507</v>
      </c>
      <c r="G68" s="9">
        <v>9604.732333618556</v>
      </c>
      <c r="H68" s="9">
        <v>-3250.0976909608507</v>
      </c>
      <c r="I68" s="9">
        <v>9604.732333618556</v>
      </c>
      <c r="K68" s="11" t="s">
        <v>39</v>
      </c>
      <c r="L68" s="14">
        <f>B55</f>
        <v>0.1586692682</v>
      </c>
      <c r="M68" s="23" t="s">
        <v>40</v>
      </c>
      <c r="N68" s="11"/>
      <c r="O68" s="11"/>
      <c r="P68" s="11"/>
      <c r="Q68" s="11"/>
    </row>
    <row r="69">
      <c r="A69" s="22" t="s">
        <v>3</v>
      </c>
      <c r="B69" s="13">
        <v>-875.8033917117555</v>
      </c>
      <c r="C69" s="13">
        <v>1122.2824016173672</v>
      </c>
      <c r="D69" s="13">
        <v>-0.7803770160251994</v>
      </c>
      <c r="E69" s="13">
        <v>0.4401331073393758</v>
      </c>
      <c r="F69" s="13">
        <v>-3149.7635177143748</v>
      </c>
      <c r="G69" s="13">
        <v>1398.1567342908638</v>
      </c>
      <c r="H69" s="13">
        <v>-3149.7635177143748</v>
      </c>
      <c r="I69" s="13">
        <v>1398.1567342908638</v>
      </c>
      <c r="K69" s="11"/>
      <c r="L69" s="11"/>
      <c r="M69" s="11"/>
      <c r="N69" s="11"/>
      <c r="O69" s="11"/>
      <c r="P69" s="11"/>
      <c r="Q69" s="11"/>
    </row>
    <row r="70">
      <c r="K70" s="11" t="s">
        <v>41</v>
      </c>
      <c r="L70" s="11"/>
      <c r="M70" s="11"/>
      <c r="N70" s="11"/>
      <c r="O70" s="11"/>
      <c r="P70" s="11"/>
      <c r="Q70" s="11"/>
    </row>
    <row r="71">
      <c r="K71" s="11" t="s">
        <v>14</v>
      </c>
      <c r="L71" s="14">
        <v>0.9</v>
      </c>
      <c r="M71" s="11"/>
      <c r="N71" s="15">
        <f t="shared" ref="N71:N73" si="9">_xlfn.F.INV.RT(1-L71,4,COUNT($A$2:$A$42)- 3-1)</f>
        <v>2.103301571</v>
      </c>
      <c r="O71" s="11"/>
      <c r="P71" s="11"/>
      <c r="Q71" s="11"/>
    </row>
    <row r="72">
      <c r="K72" s="11" t="s">
        <v>14</v>
      </c>
      <c r="L72" s="14">
        <v>0.95</v>
      </c>
      <c r="M72" s="11"/>
      <c r="N72" s="15">
        <f t="shared" si="9"/>
        <v>2.626052285</v>
      </c>
      <c r="O72" s="11"/>
      <c r="P72" s="11"/>
      <c r="Q72" s="11"/>
    </row>
    <row r="73">
      <c r="A73" s="7" t="s">
        <v>42</v>
      </c>
      <c r="B73" s="7"/>
      <c r="C73" s="7"/>
      <c r="K73" s="11" t="s">
        <v>14</v>
      </c>
      <c r="L73" s="14">
        <v>0.99</v>
      </c>
      <c r="M73" s="11"/>
      <c r="N73" s="15">
        <f t="shared" si="9"/>
        <v>3.873432974</v>
      </c>
      <c r="O73" s="11"/>
      <c r="P73" s="11"/>
      <c r="Q73" s="11"/>
    </row>
    <row r="74">
      <c r="K74" s="11" t="s">
        <v>43</v>
      </c>
      <c r="L74" s="14">
        <f>E61</f>
        <v>3.51457621</v>
      </c>
      <c r="M74" s="23" t="s">
        <v>44</v>
      </c>
      <c r="N74" s="11"/>
      <c r="O74" s="11"/>
      <c r="P74" s="11"/>
      <c r="Q74" s="11"/>
    </row>
    <row r="75">
      <c r="A75" s="7" t="s">
        <v>45</v>
      </c>
      <c r="B75" s="7" t="s">
        <v>46</v>
      </c>
      <c r="C75" s="7" t="s">
        <v>47</v>
      </c>
    </row>
    <row r="76">
      <c r="A76" s="9">
        <v>1.0</v>
      </c>
      <c r="B76" s="9">
        <v>179594.77038912737</v>
      </c>
      <c r="C76" s="9">
        <v>-72584.77038912737</v>
      </c>
    </row>
    <row r="77">
      <c r="A77" s="9">
        <v>2.0</v>
      </c>
      <c r="B77" s="9">
        <v>212997.91458871795</v>
      </c>
      <c r="C77" s="9">
        <v>22002.085411282053</v>
      </c>
    </row>
    <row r="78">
      <c r="A78" s="9">
        <v>3.0</v>
      </c>
      <c r="B78" s="9">
        <v>163650.62406398577</v>
      </c>
      <c r="C78" s="9">
        <v>5349.3759360142285</v>
      </c>
    </row>
    <row r="79">
      <c r="A79" s="9">
        <v>4.0</v>
      </c>
      <c r="B79" s="9">
        <v>75038.7451139529</v>
      </c>
      <c r="C79" s="9">
        <v>-1038.7451139529003</v>
      </c>
    </row>
    <row r="80">
      <c r="A80" s="9">
        <v>5.0</v>
      </c>
      <c r="B80" s="9">
        <v>115588.8568774683</v>
      </c>
      <c r="C80" s="9">
        <v>-7588.8568774682935</v>
      </c>
    </row>
    <row r="81">
      <c r="A81" s="9">
        <v>6.0</v>
      </c>
      <c r="B81" s="9">
        <v>333726.3051952497</v>
      </c>
      <c r="C81" s="9">
        <v>164273.69480475032</v>
      </c>
    </row>
    <row r="82">
      <c r="A82" s="9">
        <v>7.0</v>
      </c>
      <c r="B82" s="9">
        <v>95960.06088891967</v>
      </c>
      <c r="C82" s="9">
        <v>3939.9391110803263</v>
      </c>
    </row>
    <row r="83">
      <c r="A83" s="9">
        <v>8.0</v>
      </c>
      <c r="B83" s="9">
        <v>143101.80740856455</v>
      </c>
      <c r="C83" s="9">
        <v>733313.1925914355</v>
      </c>
    </row>
    <row r="84">
      <c r="A84" s="9">
        <v>9.0</v>
      </c>
      <c r="B84" s="9">
        <v>121182.9469234981</v>
      </c>
      <c r="C84" s="9">
        <v>-182.94692349809338</v>
      </c>
    </row>
    <row r="85">
      <c r="A85" s="9">
        <v>10.0</v>
      </c>
      <c r="B85" s="9">
        <v>342909.8744619508</v>
      </c>
      <c r="C85" s="9">
        <v>-22909.874461950792</v>
      </c>
    </row>
    <row r="86">
      <c r="A86" s="9">
        <v>11.0</v>
      </c>
      <c r="B86" s="9">
        <v>142469.30378808227</v>
      </c>
      <c r="C86" s="9">
        <v>-44569.30378808227</v>
      </c>
    </row>
    <row r="87">
      <c r="A87" s="9">
        <v>12.0</v>
      </c>
      <c r="B87" s="9">
        <v>176157.03049259432</v>
      </c>
      <c r="C87" s="9">
        <v>-41157.03049259432</v>
      </c>
    </row>
    <row r="88">
      <c r="A88" s="9">
        <v>13.0</v>
      </c>
      <c r="B88" s="9">
        <v>111105.36076258548</v>
      </c>
      <c r="C88" s="9">
        <v>1794.6392374145216</v>
      </c>
    </row>
    <row r="89">
      <c r="A89" s="9">
        <v>14.0</v>
      </c>
      <c r="B89" s="9">
        <v>250538.2819185122</v>
      </c>
      <c r="C89" s="9">
        <v>-15538.281918512192</v>
      </c>
    </row>
    <row r="90">
      <c r="A90" s="9">
        <v>15.0</v>
      </c>
      <c r="B90" s="9">
        <v>140107.0788961299</v>
      </c>
      <c r="C90" s="9">
        <v>77892.92110387009</v>
      </c>
    </row>
    <row r="91">
      <c r="A91" s="9">
        <v>16.0</v>
      </c>
      <c r="B91" s="9">
        <v>89906.3940871733</v>
      </c>
      <c r="C91" s="9">
        <v>-26906.394087173307</v>
      </c>
    </row>
    <row r="92">
      <c r="A92" s="9">
        <v>17.0</v>
      </c>
      <c r="B92" s="9">
        <v>139278.1232578011</v>
      </c>
      <c r="C92" s="9">
        <v>-55278.12325780111</v>
      </c>
    </row>
    <row r="93">
      <c r="A93" s="9">
        <v>18.0</v>
      </c>
      <c r="B93" s="9">
        <v>227556.75628357218</v>
      </c>
      <c r="C93" s="9">
        <v>-38556.75628357218</v>
      </c>
    </row>
    <row r="94">
      <c r="A94" s="9">
        <v>19.0</v>
      </c>
      <c r="B94" s="9">
        <v>179271.2569125576</v>
      </c>
      <c r="C94" s="9">
        <v>-50271.25691255761</v>
      </c>
    </row>
    <row r="95">
      <c r="A95" s="9">
        <v>20.0</v>
      </c>
      <c r="B95" s="9">
        <v>162348.43950352102</v>
      </c>
      <c r="C95" s="9">
        <v>-57448.43950352102</v>
      </c>
    </row>
    <row r="96">
      <c r="A96" s="9">
        <v>21.0</v>
      </c>
      <c r="B96" s="9">
        <v>255786.44655056673</v>
      </c>
      <c r="C96" s="9">
        <v>29113.553449433268</v>
      </c>
    </row>
    <row r="97">
      <c r="A97" s="9">
        <v>22.0</v>
      </c>
      <c r="B97" s="9">
        <v>178957.33369567263</v>
      </c>
      <c r="C97" s="9">
        <v>-46257.33369567263</v>
      </c>
    </row>
    <row r="98">
      <c r="A98" s="9">
        <v>23.0</v>
      </c>
      <c r="B98" s="9">
        <v>200908.16254100658</v>
      </c>
      <c r="C98" s="9">
        <v>-56008.162541006575</v>
      </c>
    </row>
    <row r="99">
      <c r="A99" s="9">
        <v>24.0</v>
      </c>
      <c r="B99" s="9">
        <v>150526.0388055719</v>
      </c>
      <c r="C99" s="9">
        <v>-33026.03880557191</v>
      </c>
    </row>
    <row r="100">
      <c r="A100" s="9">
        <v>25.0</v>
      </c>
      <c r="B100" s="9">
        <v>71679.99169606407</v>
      </c>
      <c r="C100" s="9">
        <v>15820.00830393593</v>
      </c>
    </row>
    <row r="101">
      <c r="A101" s="9">
        <v>26.0</v>
      </c>
      <c r="B101" s="9">
        <v>83806.09340449501</v>
      </c>
      <c r="C101" s="9">
        <v>-18806.09340449501</v>
      </c>
    </row>
    <row r="102">
      <c r="A102" s="9">
        <v>27.0</v>
      </c>
      <c r="B102" s="9">
        <v>46952.74369110893</v>
      </c>
      <c r="C102" s="9">
        <v>16747.25630889107</v>
      </c>
    </row>
    <row r="103">
      <c r="A103" s="9">
        <v>28.0</v>
      </c>
      <c r="B103" s="9">
        <v>127664.88790423464</v>
      </c>
      <c r="C103" s="9">
        <v>-40164.88790423464</v>
      </c>
    </row>
    <row r="104">
      <c r="A104" s="9">
        <v>29.0</v>
      </c>
      <c r="B104" s="9">
        <v>139158.10175473854</v>
      </c>
      <c r="C104" s="9">
        <v>-61258.10175473854</v>
      </c>
    </row>
    <row r="105">
      <c r="A105" s="9">
        <v>30.0</v>
      </c>
      <c r="B105" s="9">
        <v>241015.78368603933</v>
      </c>
      <c r="C105" s="9">
        <v>-51015.78368603933</v>
      </c>
    </row>
    <row r="106">
      <c r="A106" s="9">
        <v>31.0</v>
      </c>
      <c r="B106" s="9">
        <v>160812.51442460695</v>
      </c>
      <c r="C106" s="9">
        <v>-73812.51442460695</v>
      </c>
    </row>
    <row r="107">
      <c r="A107" s="9">
        <v>32.0</v>
      </c>
      <c r="B107" s="9">
        <v>162370.08013611886</v>
      </c>
      <c r="C107" s="9">
        <v>-53370.080136118864</v>
      </c>
    </row>
    <row r="108">
      <c r="A108" s="9">
        <v>33.0</v>
      </c>
      <c r="B108" s="9">
        <v>170279.89772134012</v>
      </c>
      <c r="C108" s="9">
        <v>-40279.89772134012</v>
      </c>
    </row>
    <row r="109">
      <c r="A109" s="9">
        <v>34.0</v>
      </c>
      <c r="B109" s="9">
        <v>92207.6293006121</v>
      </c>
      <c r="C109" s="9">
        <v>11792.370699387902</v>
      </c>
    </row>
    <row r="110">
      <c r="A110" s="9">
        <v>35.0</v>
      </c>
      <c r="B110" s="9">
        <v>142395.63744977335</v>
      </c>
      <c r="C110" s="9">
        <v>-7395.637449773349</v>
      </c>
    </row>
    <row r="111">
      <c r="A111" s="9">
        <v>36.0</v>
      </c>
      <c r="B111" s="9">
        <v>181728.64941732754</v>
      </c>
      <c r="C111" s="9">
        <v>-88728.64941732754</v>
      </c>
    </row>
    <row r="112">
      <c r="A112" s="9">
        <v>37.0</v>
      </c>
      <c r="B112" s="9">
        <v>147923.83575122175</v>
      </c>
      <c r="C112" s="9">
        <v>-35923.83575122175</v>
      </c>
    </row>
    <row r="113">
      <c r="A113" s="13">
        <v>38.0</v>
      </c>
      <c r="B113" s="13">
        <v>41048.16038821034</v>
      </c>
      <c r="C113" s="13">
        <v>16951.839611789663</v>
      </c>
    </row>
    <row r="114">
      <c r="A114" s="9">
        <v>39.0</v>
      </c>
      <c r="B114" s="9">
        <v>69955.69608619576</v>
      </c>
      <c r="C114" s="9">
        <v>-5055.696086195763</v>
      </c>
    </row>
    <row r="115">
      <c r="A115" s="9">
        <v>40.0</v>
      </c>
      <c r="B115" s="9">
        <v>168950.262629231</v>
      </c>
      <c r="C115" s="9">
        <v>-53950.262629231</v>
      </c>
    </row>
    <row r="116">
      <c r="A116" s="13">
        <v>41.0</v>
      </c>
      <c r="B116" s="13">
        <v>100907.12115189183</v>
      </c>
      <c r="C116" s="13">
        <v>92.87884810817195</v>
      </c>
    </row>
    <row r="122">
      <c r="A122" s="1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4" t="s">
        <v>48</v>
      </c>
      <c r="G122" s="19" t="s">
        <v>49</v>
      </c>
    </row>
    <row r="123">
      <c r="A123" s="3">
        <v>1.0</v>
      </c>
      <c r="B123" s="4">
        <v>73.8</v>
      </c>
      <c r="C123" s="5">
        <v>5.0</v>
      </c>
      <c r="D123" s="5">
        <f t="shared" ref="D123:D163" si="10">D2</f>
        <v>0</v>
      </c>
      <c r="E123" s="4">
        <v>107010.0</v>
      </c>
      <c r="F123" s="25">
        <f t="shared" ref="F123:F163" si="11">B76</f>
        <v>179594.7704</v>
      </c>
      <c r="G123" s="21">
        <f t="shared" ref="G123:G163" si="12">E123-F123</f>
        <v>-72584.77039</v>
      </c>
    </row>
    <row r="124">
      <c r="A124" s="25">
        <f t="shared" ref="A124:A163" si="13">A123+1</f>
        <v>2</v>
      </c>
      <c r="B124" s="4">
        <v>98.1</v>
      </c>
      <c r="C124" s="5">
        <v>6.0</v>
      </c>
      <c r="D124" s="5">
        <f t="shared" si="10"/>
        <v>10</v>
      </c>
      <c r="E124" s="4">
        <v>235000.0</v>
      </c>
      <c r="F124" s="25">
        <f t="shared" si="11"/>
        <v>212997.9146</v>
      </c>
      <c r="G124" s="21">
        <f t="shared" si="12"/>
        <v>22002.08541</v>
      </c>
    </row>
    <row r="125">
      <c r="A125" s="25">
        <f t="shared" si="13"/>
        <v>3</v>
      </c>
      <c r="B125" s="4">
        <v>76.9</v>
      </c>
      <c r="C125" s="5">
        <v>2.0</v>
      </c>
      <c r="D125" s="5">
        <f t="shared" si="10"/>
        <v>13</v>
      </c>
      <c r="E125" s="4">
        <v>169000.0</v>
      </c>
      <c r="F125" s="25">
        <f t="shared" si="11"/>
        <v>163650.6241</v>
      </c>
      <c r="G125" s="21">
        <f t="shared" si="12"/>
        <v>5349.375936</v>
      </c>
    </row>
    <row r="126">
      <c r="A126" s="25">
        <f t="shared" si="13"/>
        <v>4</v>
      </c>
      <c r="B126" s="5">
        <v>45.0</v>
      </c>
      <c r="C126" s="5">
        <v>4.0</v>
      </c>
      <c r="D126" s="5">
        <f t="shared" si="10"/>
        <v>63</v>
      </c>
      <c r="E126" s="4">
        <v>74000.0</v>
      </c>
      <c r="F126" s="25">
        <f t="shared" si="11"/>
        <v>75038.74511</v>
      </c>
      <c r="G126" s="21">
        <f t="shared" si="12"/>
        <v>-1038.745114</v>
      </c>
    </row>
    <row r="127">
      <c r="A127" s="25">
        <f t="shared" si="13"/>
        <v>5</v>
      </c>
      <c r="B127" s="5">
        <v>55.6</v>
      </c>
      <c r="C127" s="5">
        <v>7.0</v>
      </c>
      <c r="D127" s="5">
        <f t="shared" si="10"/>
        <v>47</v>
      </c>
      <c r="E127" s="4">
        <v>108000.0</v>
      </c>
      <c r="F127" s="25">
        <f t="shared" si="11"/>
        <v>115588.8569</v>
      </c>
      <c r="G127" s="21">
        <f t="shared" si="12"/>
        <v>-7588.856877</v>
      </c>
    </row>
    <row r="128">
      <c r="A128" s="25">
        <f t="shared" si="13"/>
        <v>6</v>
      </c>
      <c r="B128" s="5">
        <v>122.0</v>
      </c>
      <c r="C128" s="5">
        <v>30.0</v>
      </c>
      <c r="D128" s="5">
        <f t="shared" si="10"/>
        <v>3</v>
      </c>
      <c r="E128" s="4">
        <v>498000.0</v>
      </c>
      <c r="F128" s="25">
        <f t="shared" si="11"/>
        <v>333726.3052</v>
      </c>
      <c r="G128" s="21">
        <f t="shared" si="12"/>
        <v>164273.6948</v>
      </c>
    </row>
    <row r="129">
      <c r="A129" s="25">
        <f t="shared" si="13"/>
        <v>7</v>
      </c>
      <c r="B129" s="5">
        <v>48.9</v>
      </c>
      <c r="C129" s="5">
        <v>2.0</v>
      </c>
      <c r="D129" s="5">
        <f t="shared" si="10"/>
        <v>39</v>
      </c>
      <c r="E129" s="5">
        <v>99900.0</v>
      </c>
      <c r="F129" s="25">
        <f t="shared" si="11"/>
        <v>95960.06089</v>
      </c>
      <c r="G129" s="21">
        <f t="shared" si="12"/>
        <v>3939.939111</v>
      </c>
    </row>
    <row r="130">
      <c r="A130" s="25">
        <f t="shared" si="13"/>
        <v>8</v>
      </c>
      <c r="B130" s="5">
        <v>41.15</v>
      </c>
      <c r="C130" s="5">
        <v>10.0</v>
      </c>
      <c r="D130" s="5">
        <f t="shared" si="10"/>
        <v>0</v>
      </c>
      <c r="E130" s="5">
        <v>876415.0</v>
      </c>
      <c r="F130" s="25">
        <f t="shared" si="11"/>
        <v>143101.8074</v>
      </c>
      <c r="G130" s="21">
        <f t="shared" si="12"/>
        <v>733313.1926</v>
      </c>
    </row>
    <row r="131">
      <c r="A131" s="25">
        <f t="shared" si="13"/>
        <v>9</v>
      </c>
      <c r="B131" s="5">
        <v>42.1</v>
      </c>
      <c r="C131" s="5">
        <v>4.0</v>
      </c>
      <c r="D131" s="5">
        <f t="shared" si="10"/>
        <v>5</v>
      </c>
      <c r="E131" s="5">
        <v>121000.0</v>
      </c>
      <c r="F131" s="25">
        <f t="shared" si="11"/>
        <v>121182.9469</v>
      </c>
      <c r="G131" s="21">
        <f t="shared" si="12"/>
        <v>-182.9469235</v>
      </c>
    </row>
    <row r="132">
      <c r="A132" s="25">
        <f t="shared" si="13"/>
        <v>10</v>
      </c>
      <c r="B132" s="5">
        <v>175.6</v>
      </c>
      <c r="C132" s="5">
        <v>5.0</v>
      </c>
      <c r="D132" s="5">
        <f t="shared" si="10"/>
        <v>0</v>
      </c>
      <c r="E132" s="5">
        <v>320000.0</v>
      </c>
      <c r="F132" s="25">
        <f t="shared" si="11"/>
        <v>342909.8745</v>
      </c>
      <c r="G132" s="21">
        <f t="shared" si="12"/>
        <v>-22909.87446</v>
      </c>
    </row>
    <row r="133">
      <c r="A133" s="25">
        <f t="shared" si="13"/>
        <v>11</v>
      </c>
      <c r="B133" s="5">
        <v>56.6</v>
      </c>
      <c r="C133" s="5">
        <v>2.0</v>
      </c>
      <c r="D133" s="5">
        <f t="shared" si="10"/>
        <v>0</v>
      </c>
      <c r="E133" s="5">
        <v>97900.0</v>
      </c>
      <c r="F133" s="25">
        <f t="shared" si="11"/>
        <v>142469.3038</v>
      </c>
      <c r="G133" s="21">
        <f t="shared" si="12"/>
        <v>-44569.30379</v>
      </c>
    </row>
    <row r="134">
      <c r="A134" s="25">
        <f t="shared" si="13"/>
        <v>12</v>
      </c>
      <c r="B134" s="5">
        <v>79.3</v>
      </c>
      <c r="C134" s="5">
        <v>5.0</v>
      </c>
      <c r="D134" s="5">
        <f t="shared" si="10"/>
        <v>14</v>
      </c>
      <c r="E134" s="5">
        <v>135000.0</v>
      </c>
      <c r="F134" s="25">
        <f t="shared" si="11"/>
        <v>176157.0305</v>
      </c>
      <c r="G134" s="21">
        <f t="shared" si="12"/>
        <v>-41157.03049</v>
      </c>
    </row>
    <row r="135">
      <c r="A135" s="25">
        <f t="shared" si="13"/>
        <v>13</v>
      </c>
      <c r="B135" s="5">
        <v>32.2</v>
      </c>
      <c r="C135" s="5">
        <v>5.0</v>
      </c>
      <c r="D135" s="5">
        <f t="shared" si="10"/>
        <v>2</v>
      </c>
      <c r="E135" s="5">
        <v>112900.0</v>
      </c>
      <c r="F135" s="25">
        <f t="shared" si="11"/>
        <v>111105.3608</v>
      </c>
      <c r="G135" s="21">
        <f t="shared" si="12"/>
        <v>1794.639237</v>
      </c>
    </row>
    <row r="136">
      <c r="A136" s="25">
        <f t="shared" si="13"/>
        <v>14</v>
      </c>
      <c r="B136" s="5">
        <v>107.7</v>
      </c>
      <c r="C136" s="5">
        <v>16.0</v>
      </c>
      <c r="D136" s="5">
        <f t="shared" si="10"/>
        <v>21</v>
      </c>
      <c r="E136" s="5">
        <v>235000.0</v>
      </c>
      <c r="F136" s="25">
        <f t="shared" si="11"/>
        <v>250538.2819</v>
      </c>
      <c r="G136" s="21">
        <f t="shared" si="12"/>
        <v>-15538.28192</v>
      </c>
    </row>
    <row r="137">
      <c r="A137" s="25">
        <f t="shared" si="13"/>
        <v>15</v>
      </c>
      <c r="B137" s="5">
        <v>65.5</v>
      </c>
      <c r="C137" s="5">
        <v>2.0</v>
      </c>
      <c r="D137" s="5">
        <f t="shared" si="10"/>
        <v>19</v>
      </c>
      <c r="E137" s="5">
        <v>218000.0</v>
      </c>
      <c r="F137" s="25">
        <f t="shared" si="11"/>
        <v>140107.0789</v>
      </c>
      <c r="G137" s="21">
        <f t="shared" si="12"/>
        <v>77892.9211</v>
      </c>
    </row>
    <row r="138">
      <c r="A138" s="25">
        <f t="shared" si="13"/>
        <v>16</v>
      </c>
      <c r="B138" s="5">
        <v>35.3</v>
      </c>
      <c r="C138" s="5">
        <v>2.0</v>
      </c>
      <c r="D138" s="5">
        <f t="shared" si="10"/>
        <v>21</v>
      </c>
      <c r="E138" s="5">
        <v>63000.0</v>
      </c>
      <c r="F138" s="25">
        <f t="shared" si="11"/>
        <v>89906.39409</v>
      </c>
      <c r="G138" s="21">
        <f t="shared" si="12"/>
        <v>-26906.39409</v>
      </c>
    </row>
    <row r="139">
      <c r="A139" s="25">
        <f t="shared" si="13"/>
        <v>17</v>
      </c>
      <c r="B139" s="5">
        <v>45.8</v>
      </c>
      <c r="C139" s="5">
        <v>7.0</v>
      </c>
      <c r="D139" s="5">
        <f t="shared" si="10"/>
        <v>2</v>
      </c>
      <c r="E139" s="5">
        <v>84000.0</v>
      </c>
      <c r="F139" s="25">
        <f t="shared" si="11"/>
        <v>139278.1233</v>
      </c>
      <c r="G139" s="21">
        <f t="shared" si="12"/>
        <v>-55278.12326</v>
      </c>
    </row>
    <row r="140">
      <c r="A140" s="25">
        <f t="shared" si="13"/>
        <v>18</v>
      </c>
      <c r="B140" s="5">
        <v>94.2</v>
      </c>
      <c r="C140" s="5">
        <v>12.0</v>
      </c>
      <c r="D140" s="5">
        <f t="shared" si="10"/>
        <v>8</v>
      </c>
      <c r="E140" s="5">
        <v>189000.0</v>
      </c>
      <c r="F140" s="25">
        <f t="shared" si="11"/>
        <v>227556.7563</v>
      </c>
      <c r="G140" s="21">
        <f t="shared" si="12"/>
        <v>-38556.75628</v>
      </c>
    </row>
    <row r="141">
      <c r="A141" s="25">
        <f t="shared" si="13"/>
        <v>19</v>
      </c>
      <c r="B141" s="5">
        <v>58.3</v>
      </c>
      <c r="C141" s="5">
        <v>13.0</v>
      </c>
      <c r="D141" s="5">
        <f t="shared" si="10"/>
        <v>1</v>
      </c>
      <c r="E141" s="5">
        <v>129000.0</v>
      </c>
      <c r="F141" s="25">
        <f t="shared" si="11"/>
        <v>179271.2569</v>
      </c>
      <c r="G141" s="21">
        <f t="shared" si="12"/>
        <v>-50271.25691</v>
      </c>
    </row>
    <row r="142">
      <c r="A142" s="25">
        <f t="shared" si="13"/>
        <v>20</v>
      </c>
      <c r="B142" s="5">
        <v>58.2</v>
      </c>
      <c r="C142" s="5">
        <v>8.0</v>
      </c>
      <c r="D142" s="5">
        <f t="shared" si="10"/>
        <v>2</v>
      </c>
      <c r="E142" s="5">
        <v>104900.0</v>
      </c>
      <c r="F142" s="25">
        <f t="shared" si="11"/>
        <v>162348.4395</v>
      </c>
      <c r="G142" s="21">
        <f t="shared" si="12"/>
        <v>-57448.4395</v>
      </c>
    </row>
    <row r="143">
      <c r="A143" s="25">
        <f t="shared" si="13"/>
        <v>21</v>
      </c>
      <c r="B143" s="5">
        <v>133.1</v>
      </c>
      <c r="C143" s="5">
        <v>4.0</v>
      </c>
      <c r="D143" s="5">
        <f t="shared" si="10"/>
        <v>18</v>
      </c>
      <c r="E143" s="5">
        <v>284900.0</v>
      </c>
      <c r="F143" s="25">
        <f t="shared" si="11"/>
        <v>255786.4466</v>
      </c>
      <c r="G143" s="21">
        <f t="shared" si="12"/>
        <v>29113.55345</v>
      </c>
    </row>
    <row r="144">
      <c r="A144" s="25">
        <f t="shared" si="13"/>
        <v>22</v>
      </c>
      <c r="B144" s="5">
        <v>63.5</v>
      </c>
      <c r="C144" s="5">
        <v>10.0</v>
      </c>
      <c r="D144" s="5">
        <f t="shared" si="10"/>
        <v>0</v>
      </c>
      <c r="E144" s="5">
        <v>132700.0</v>
      </c>
      <c r="F144" s="25">
        <f t="shared" si="11"/>
        <v>178957.3337</v>
      </c>
      <c r="G144" s="21">
        <f t="shared" si="12"/>
        <v>-46257.3337</v>
      </c>
    </row>
    <row r="145">
      <c r="A145" s="25">
        <f t="shared" si="13"/>
        <v>23</v>
      </c>
      <c r="B145" s="5">
        <v>55.6</v>
      </c>
      <c r="C145" s="5">
        <v>22.0</v>
      </c>
      <c r="D145" s="5">
        <f t="shared" si="10"/>
        <v>4</v>
      </c>
      <c r="E145" s="5">
        <v>144900.0</v>
      </c>
      <c r="F145" s="25">
        <f t="shared" si="11"/>
        <v>200908.1625</v>
      </c>
      <c r="G145" s="21">
        <f t="shared" si="12"/>
        <v>-56008.16254</v>
      </c>
    </row>
    <row r="146">
      <c r="A146" s="25">
        <f t="shared" si="13"/>
        <v>24</v>
      </c>
      <c r="B146" s="5">
        <v>61.0</v>
      </c>
      <c r="C146" s="5">
        <v>7.0</v>
      </c>
      <c r="D146" s="5">
        <f t="shared" si="10"/>
        <v>17</v>
      </c>
      <c r="E146" s="5">
        <v>117500.0</v>
      </c>
      <c r="F146" s="25">
        <f t="shared" si="11"/>
        <v>150526.0388</v>
      </c>
      <c r="G146" s="21">
        <f t="shared" si="12"/>
        <v>-33026.03881</v>
      </c>
    </row>
    <row r="147">
      <c r="A147" s="25">
        <f t="shared" si="13"/>
        <v>25</v>
      </c>
      <c r="B147" s="5">
        <v>35.2</v>
      </c>
      <c r="C147" s="5">
        <v>1.0</v>
      </c>
      <c r="D147" s="5">
        <f t="shared" si="10"/>
        <v>38</v>
      </c>
      <c r="E147" s="5">
        <v>87500.0</v>
      </c>
      <c r="F147" s="25">
        <f t="shared" si="11"/>
        <v>71679.9917</v>
      </c>
      <c r="G147" s="21">
        <f t="shared" si="12"/>
        <v>15820.0083</v>
      </c>
    </row>
    <row r="148">
      <c r="A148" s="25">
        <f t="shared" si="13"/>
        <v>26</v>
      </c>
      <c r="B148" s="5">
        <v>34.9</v>
      </c>
      <c r="C148" s="5">
        <v>8.0</v>
      </c>
      <c r="D148" s="5">
        <f t="shared" si="10"/>
        <v>49</v>
      </c>
      <c r="E148" s="5">
        <v>65000.0</v>
      </c>
      <c r="F148" s="25">
        <f t="shared" si="11"/>
        <v>83806.0934</v>
      </c>
      <c r="G148" s="21">
        <f t="shared" si="12"/>
        <v>-18806.0934</v>
      </c>
    </row>
    <row r="149">
      <c r="A149" s="25">
        <f t="shared" si="13"/>
        <v>27</v>
      </c>
      <c r="B149" s="5">
        <v>32.0</v>
      </c>
      <c r="C149" s="5">
        <v>2.0</v>
      </c>
      <c r="D149" s="5">
        <f t="shared" si="10"/>
        <v>64</v>
      </c>
      <c r="E149" s="5">
        <v>63700.0</v>
      </c>
      <c r="F149" s="25">
        <f t="shared" si="11"/>
        <v>46952.74369</v>
      </c>
      <c r="G149" s="21">
        <f t="shared" si="12"/>
        <v>16747.25631</v>
      </c>
    </row>
    <row r="150">
      <c r="A150" s="25">
        <f t="shared" si="13"/>
        <v>28</v>
      </c>
      <c r="B150" s="5">
        <v>34.6</v>
      </c>
      <c r="C150" s="5">
        <v>9.0</v>
      </c>
      <c r="D150" s="5">
        <f t="shared" si="10"/>
        <v>2</v>
      </c>
      <c r="E150" s="5">
        <v>87500.0</v>
      </c>
      <c r="F150" s="25">
        <f t="shared" si="11"/>
        <v>127664.8879</v>
      </c>
      <c r="G150" s="21">
        <f t="shared" si="12"/>
        <v>-40164.8879</v>
      </c>
    </row>
    <row r="151">
      <c r="A151" s="25">
        <f t="shared" si="13"/>
        <v>29</v>
      </c>
      <c r="B151" s="5">
        <v>44.9</v>
      </c>
      <c r="C151" s="5">
        <v>11.0</v>
      </c>
      <c r="D151" s="5">
        <f t="shared" si="10"/>
        <v>15</v>
      </c>
      <c r="E151" s="5">
        <v>77900.0</v>
      </c>
      <c r="F151" s="25">
        <f t="shared" si="11"/>
        <v>139158.1018</v>
      </c>
      <c r="G151" s="21">
        <f t="shared" si="12"/>
        <v>-61258.10175</v>
      </c>
    </row>
    <row r="152">
      <c r="A152" s="25">
        <f t="shared" si="13"/>
        <v>30</v>
      </c>
      <c r="B152" s="5">
        <v>90.3</v>
      </c>
      <c r="C152" s="5">
        <v>16.0</v>
      </c>
      <c r="D152" s="5">
        <f t="shared" si="10"/>
        <v>0</v>
      </c>
      <c r="E152" s="5">
        <v>190000.0</v>
      </c>
      <c r="F152" s="25">
        <f t="shared" si="11"/>
        <v>241015.7837</v>
      </c>
      <c r="G152" s="21">
        <f t="shared" si="12"/>
        <v>-51015.78369</v>
      </c>
    </row>
    <row r="153">
      <c r="A153" s="25">
        <f t="shared" si="13"/>
        <v>31</v>
      </c>
      <c r="B153" s="5">
        <v>26.1</v>
      </c>
      <c r="C153" s="5">
        <v>24.0</v>
      </c>
      <c r="D153" s="5">
        <f t="shared" si="10"/>
        <v>3</v>
      </c>
      <c r="E153" s="5">
        <v>87000.0</v>
      </c>
      <c r="F153" s="25">
        <f t="shared" si="11"/>
        <v>160812.5144</v>
      </c>
      <c r="G153" s="21">
        <f t="shared" si="12"/>
        <v>-73812.51442</v>
      </c>
    </row>
    <row r="154">
      <c r="A154" s="25">
        <f t="shared" si="13"/>
        <v>32</v>
      </c>
      <c r="B154" s="5">
        <v>39.5</v>
      </c>
      <c r="C154" s="5">
        <v>18.0</v>
      </c>
      <c r="D154" s="5">
        <f t="shared" si="10"/>
        <v>4</v>
      </c>
      <c r="E154" s="5">
        <v>109000.0</v>
      </c>
      <c r="F154" s="25">
        <f t="shared" si="11"/>
        <v>162370.0801</v>
      </c>
      <c r="G154" s="21">
        <f t="shared" si="12"/>
        <v>-53370.08014</v>
      </c>
    </row>
    <row r="155">
      <c r="A155" s="25">
        <f t="shared" si="13"/>
        <v>33</v>
      </c>
      <c r="B155" s="5">
        <v>68.4</v>
      </c>
      <c r="C155" s="5">
        <v>7.0</v>
      </c>
      <c r="D155" s="5">
        <f t="shared" si="10"/>
        <v>8</v>
      </c>
      <c r="E155" s="5">
        <v>130000.0</v>
      </c>
      <c r="F155" s="25">
        <f t="shared" si="11"/>
        <v>170279.8977</v>
      </c>
      <c r="G155" s="21">
        <f t="shared" si="12"/>
        <v>-40279.89772</v>
      </c>
    </row>
    <row r="156">
      <c r="A156" s="25">
        <f t="shared" si="13"/>
        <v>34</v>
      </c>
      <c r="B156" s="5">
        <v>49.9</v>
      </c>
      <c r="C156" s="5">
        <v>5.0</v>
      </c>
      <c r="D156" s="5">
        <f t="shared" si="10"/>
        <v>56</v>
      </c>
      <c r="E156" s="5">
        <v>104000.0</v>
      </c>
      <c r="F156" s="25">
        <f t="shared" si="11"/>
        <v>92207.6293</v>
      </c>
      <c r="G156" s="21">
        <f t="shared" si="12"/>
        <v>11792.3707</v>
      </c>
    </row>
    <row r="157">
      <c r="A157" s="25">
        <f t="shared" si="13"/>
        <v>35</v>
      </c>
      <c r="B157" s="5">
        <v>57.1</v>
      </c>
      <c r="C157" s="5">
        <v>2.0</v>
      </c>
      <c r="D157" s="5">
        <f t="shared" si="10"/>
        <v>1</v>
      </c>
      <c r="E157" s="5">
        <v>135000.0</v>
      </c>
      <c r="F157" s="25">
        <f t="shared" si="11"/>
        <v>142395.6374</v>
      </c>
      <c r="G157" s="21">
        <f t="shared" si="12"/>
        <v>-7395.63745</v>
      </c>
    </row>
    <row r="158">
      <c r="A158" s="25">
        <f t="shared" si="13"/>
        <v>36</v>
      </c>
      <c r="B158" s="5">
        <v>37.5</v>
      </c>
      <c r="C158" s="5">
        <v>24.0</v>
      </c>
      <c r="D158" s="5">
        <f t="shared" si="10"/>
        <v>0</v>
      </c>
      <c r="E158" s="5">
        <v>93000.0</v>
      </c>
      <c r="F158" s="25">
        <f t="shared" si="11"/>
        <v>181728.6494</v>
      </c>
      <c r="G158" s="21">
        <f t="shared" si="12"/>
        <v>-88728.64942</v>
      </c>
    </row>
    <row r="159">
      <c r="A159" s="25">
        <f t="shared" si="13"/>
        <v>37</v>
      </c>
      <c r="B159" s="5">
        <v>60.0</v>
      </c>
      <c r="C159" s="5">
        <v>2.0</v>
      </c>
      <c r="D159" s="5">
        <f t="shared" si="10"/>
        <v>0</v>
      </c>
      <c r="E159" s="5">
        <v>112000.0</v>
      </c>
      <c r="F159" s="25">
        <f t="shared" si="11"/>
        <v>147923.8358</v>
      </c>
      <c r="G159" s="21">
        <f t="shared" si="12"/>
        <v>-35923.83575</v>
      </c>
    </row>
    <row r="160">
      <c r="A160" s="25">
        <f t="shared" si="13"/>
        <v>38</v>
      </c>
      <c r="B160" s="5">
        <v>30.3</v>
      </c>
      <c r="C160" s="5">
        <v>1.0</v>
      </c>
      <c r="D160" s="5">
        <f t="shared" si="10"/>
        <v>64</v>
      </c>
      <c r="E160" s="5">
        <v>58000.0</v>
      </c>
      <c r="F160" s="25">
        <f t="shared" si="11"/>
        <v>41048.16039</v>
      </c>
      <c r="G160" s="21">
        <f t="shared" si="12"/>
        <v>16951.83961</v>
      </c>
    </row>
    <row r="161">
      <c r="A161" s="25">
        <f t="shared" si="13"/>
        <v>39</v>
      </c>
      <c r="B161" s="5">
        <v>33.3</v>
      </c>
      <c r="C161" s="5">
        <v>5.0</v>
      </c>
      <c r="D161" s="5">
        <f t="shared" si="10"/>
        <v>51</v>
      </c>
      <c r="E161" s="5">
        <v>64900.0</v>
      </c>
      <c r="F161" s="25">
        <f t="shared" si="11"/>
        <v>69955.69609</v>
      </c>
      <c r="G161" s="21">
        <f t="shared" si="12"/>
        <v>-5055.696086</v>
      </c>
    </row>
    <row r="162">
      <c r="A162" s="25">
        <f t="shared" si="13"/>
        <v>40</v>
      </c>
      <c r="B162" s="5">
        <v>58.9</v>
      </c>
      <c r="C162" s="5">
        <v>10.0</v>
      </c>
      <c r="D162" s="5">
        <f t="shared" si="10"/>
        <v>3</v>
      </c>
      <c r="E162" s="5">
        <v>115000.0</v>
      </c>
      <c r="F162" s="25">
        <f t="shared" si="11"/>
        <v>168950.2626</v>
      </c>
      <c r="G162" s="21">
        <f t="shared" si="12"/>
        <v>-53950.26263</v>
      </c>
    </row>
    <row r="163">
      <c r="A163" s="25">
        <f t="shared" si="13"/>
        <v>41</v>
      </c>
      <c r="B163" s="5">
        <v>49.8</v>
      </c>
      <c r="C163" s="5">
        <v>2.0</v>
      </c>
      <c r="D163" s="5">
        <f t="shared" si="10"/>
        <v>35</v>
      </c>
      <c r="E163" s="5">
        <v>101000.0</v>
      </c>
      <c r="F163" s="25">
        <f t="shared" si="11"/>
        <v>100907.1212</v>
      </c>
      <c r="G163" s="21">
        <f t="shared" si="12"/>
        <v>92.87884811</v>
      </c>
    </row>
    <row r="164">
      <c r="G164" s="6" t="s">
        <v>50</v>
      </c>
    </row>
    <row r="169">
      <c r="A169" s="26"/>
    </row>
    <row r="170">
      <c r="A170" s="3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3"/>
    </row>
  </sheetData>
  <mergeCells count="2">
    <mergeCell ref="K55:M55"/>
    <mergeCell ref="K60:L60"/>
  </mergeCells>
  <drawing r:id="rId1"/>
</worksheet>
</file>