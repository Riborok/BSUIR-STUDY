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<sst xmlns="http://schemas.openxmlformats.org/spreadsheetml/2006/main" count="58" uniqueCount="15">
  <si>
    <t>Цена квартиры</t>
  </si>
  <si>
    <t>площадь квартиры(м2)</t>
  </si>
  <si>
    <t>Количество комнат (шт)</t>
  </si>
  <si>
    <t>Этаж (номер)</t>
  </si>
  <si>
    <t>Год постройки дома (год)</t>
  </si>
  <si>
    <t>Время добраться до метро (мин)</t>
  </si>
  <si>
    <t>y</t>
  </si>
  <si>
    <t>x1</t>
  </si>
  <si>
    <t>x2</t>
  </si>
  <si>
    <t>x3</t>
  </si>
  <si>
    <t>x4</t>
  </si>
  <si>
    <t>x5</t>
  </si>
  <si>
    <t>Среднее</t>
  </si>
  <si>
    <t>-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</si>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</sst>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4.0"/>
      <color rgb="FF000000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1" fillId="2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11</xdr:row>
      <xdr:rowOff>200025</xdr:rowOff>
    </xdr:from>
    <xdr:ext cx="3124200" cy="8858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7.0"/>
    <col customWidth="1" min="6" max="6" width="22.0"/>
    <col customWidth="1" min="9" max="9" width="16.25"/>
    <col customWidth="1" min="10" max="10" width="15.63"/>
    <col customWidth="1" min="11" max="1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H2" s="5" t="s">
        <v>12</v>
      </c>
      <c r="I2" s="6">
        <f t="shared" ref="I2:N2" si="1">AVERAGE(A3:A43)</f>
        <v>154573.7805</v>
      </c>
      <c r="J2" s="6">
        <f t="shared" si="1"/>
        <v>61.17439024</v>
      </c>
      <c r="K2" s="6">
        <f t="shared" si="1"/>
        <v>2</v>
      </c>
      <c r="L2" s="6">
        <f t="shared" si="1"/>
        <v>8.219512195</v>
      </c>
      <c r="M2" s="6">
        <f t="shared" si="1"/>
        <v>2007.878049</v>
      </c>
      <c r="N2" s="6">
        <f t="shared" si="1"/>
        <v>12.3902439</v>
      </c>
    </row>
    <row r="3">
      <c r="A3" s="7">
        <v>107010.0</v>
      </c>
      <c r="B3" s="7">
        <v>73.8</v>
      </c>
      <c r="C3" s="8">
        <v>2.0</v>
      </c>
      <c r="D3" s="8">
        <v>5.0</v>
      </c>
      <c r="E3" s="8">
        <v>2025.0</v>
      </c>
      <c r="F3" s="8">
        <v>15.0</v>
      </c>
    </row>
    <row r="4">
      <c r="A4" s="7">
        <v>235000.0</v>
      </c>
      <c r="B4" s="7">
        <v>98.1</v>
      </c>
      <c r="C4" s="8">
        <v>3.0</v>
      </c>
      <c r="D4" s="8">
        <v>6.0</v>
      </c>
      <c r="E4" s="8">
        <v>2015.0</v>
      </c>
      <c r="F4" s="8">
        <v>10.0</v>
      </c>
      <c r="H4" s="9"/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</row>
    <row r="5">
      <c r="A5" s="7">
        <v>169000.0</v>
      </c>
      <c r="B5" s="7">
        <v>76.9</v>
      </c>
      <c r="C5" s="8">
        <v>3.0</v>
      </c>
      <c r="D5" s="8">
        <v>2.0</v>
      </c>
      <c r="E5" s="8">
        <v>2012.0</v>
      </c>
      <c r="F5" s="8">
        <v>5.0</v>
      </c>
      <c r="H5" s="6" t="s">
        <v>6</v>
      </c>
      <c r="I5" s="6">
        <v>1.0</v>
      </c>
      <c r="J5" s="6" t="s">
        <v>13</v>
      </c>
      <c r="K5" s="10" t="s">
        <v>13</v>
      </c>
      <c r="L5" s="6" t="s">
        <v>13</v>
      </c>
      <c r="M5" s="6" t="s">
        <v>13</v>
      </c>
      <c r="N5" s="6" t="s">
        <v>13</v>
      </c>
    </row>
    <row r="6">
      <c r="A6" s="7">
        <v>74000.0</v>
      </c>
      <c r="B6" s="8">
        <v>45.0</v>
      </c>
      <c r="C6" s="8">
        <v>2.0</v>
      </c>
      <c r="D6" s="8">
        <v>4.0</v>
      </c>
      <c r="E6" s="8">
        <v>1962.0</v>
      </c>
      <c r="F6" s="8">
        <v>15.0</v>
      </c>
      <c r="H6" s="6" t="s">
        <v>7</v>
      </c>
      <c r="I6" s="11">
        <f>ABS(CORREL($A$3:$A$43,B3:B43))</f>
        <v>0.409143931</v>
      </c>
      <c r="J6" s="6">
        <v>1.0</v>
      </c>
      <c r="K6" s="6" t="s">
        <v>13</v>
      </c>
      <c r="L6" s="6" t="s">
        <v>13</v>
      </c>
      <c r="M6" s="6" t="s">
        <v>13</v>
      </c>
      <c r="N6" s="6" t="s">
        <v>13</v>
      </c>
    </row>
    <row r="7">
      <c r="A7" s="7">
        <v>108000.0</v>
      </c>
      <c r="B7" s="8">
        <v>55.6</v>
      </c>
      <c r="C7" s="8">
        <v>2.0</v>
      </c>
      <c r="D7" s="8">
        <v>7.0</v>
      </c>
      <c r="E7" s="8">
        <v>1978.0</v>
      </c>
      <c r="F7" s="8">
        <v>15.0</v>
      </c>
      <c r="H7" s="6" t="s">
        <v>8</v>
      </c>
      <c r="I7" s="12">
        <f>ABS(CORREL($A$3:$A$43,C3:C43))</f>
        <v>0.1730705446</v>
      </c>
      <c r="J7" s="6">
        <f>ABS(CORREL(B3:B43,C3:C43))</f>
        <v>0.6571117071</v>
      </c>
      <c r="K7" s="6">
        <v>1.0</v>
      </c>
      <c r="L7" s="6" t="s">
        <v>13</v>
      </c>
      <c r="M7" s="6" t="s">
        <v>13</v>
      </c>
      <c r="N7" s="6" t="s">
        <v>13</v>
      </c>
    </row>
    <row r="8">
      <c r="A8" s="7">
        <v>498000.0</v>
      </c>
      <c r="B8" s="8">
        <v>122.0</v>
      </c>
      <c r="C8" s="8">
        <v>3.0</v>
      </c>
      <c r="D8" s="8">
        <v>30.0</v>
      </c>
      <c r="E8" s="8">
        <v>2022.0</v>
      </c>
      <c r="F8" s="8">
        <v>25.0</v>
      </c>
      <c r="H8" s="6" t="s">
        <v>9</v>
      </c>
      <c r="I8" s="12">
        <f>ABS(CORREL($A$3:$A$43,D3:D43))</f>
        <v>0.2524660126</v>
      </c>
      <c r="J8" s="6">
        <f>ABS(CORREL(B3:B43,D3:D43))</f>
        <v>0.1225401069</v>
      </c>
      <c r="K8" s="6">
        <f>ABS(CORREL(C3:C43,D3:D43))</f>
        <v>0.03369662873</v>
      </c>
      <c r="L8" s="6">
        <v>1.0</v>
      </c>
      <c r="M8" s="6" t="s">
        <v>13</v>
      </c>
      <c r="N8" s="6" t="s">
        <v>13</v>
      </c>
    </row>
    <row r="9">
      <c r="A9" s="8">
        <v>99900.0</v>
      </c>
      <c r="B9" s="8">
        <v>48.9</v>
      </c>
      <c r="C9" s="8">
        <v>2.0</v>
      </c>
      <c r="D9" s="8">
        <v>2.0</v>
      </c>
      <c r="E9" s="8">
        <v>1986.0</v>
      </c>
      <c r="F9" s="8">
        <v>15.0</v>
      </c>
      <c r="H9" s="6" t="s">
        <v>10</v>
      </c>
      <c r="I9" s="12">
        <f>ABS(CORREL($A$3:$A$43,E3:E43))</f>
        <v>0.2981518957</v>
      </c>
      <c r="J9" s="6">
        <f>ABS(CORREL(B3:B43,E3:E43))</f>
        <v>0.3040217858</v>
      </c>
      <c r="K9" s="6">
        <f>ABS(CORREL(C3:C43,E3:E43))</f>
        <v>0.2989612699</v>
      </c>
      <c r="L9" s="6">
        <f>ABS(CORREL(D3:D43,E3:E43))</f>
        <v>0.3979871429</v>
      </c>
      <c r="M9" s="6">
        <v>1.0</v>
      </c>
      <c r="N9" s="6" t="s">
        <v>13</v>
      </c>
    </row>
    <row r="10">
      <c r="A10" s="8">
        <v>876415.0</v>
      </c>
      <c r="B10" s="8">
        <v>41.15</v>
      </c>
      <c r="C10" s="8">
        <v>1.0</v>
      </c>
      <c r="D10" s="8">
        <v>10.0</v>
      </c>
      <c r="E10" s="8">
        <v>2025.0</v>
      </c>
      <c r="F10" s="8">
        <v>10.0</v>
      </c>
      <c r="H10" s="6" t="s">
        <v>11</v>
      </c>
      <c r="I10" s="12">
        <f>ABS(CORREL($A$3:$A$43,F3:F43))</f>
        <v>0.2079055844</v>
      </c>
      <c r="J10" s="6">
        <f>ABS(CORREL(B3:B43,F3:F43))</f>
        <v>0.4706164625</v>
      </c>
      <c r="K10" s="6">
        <f>ABS(CORREL(C3:C43,F3:F43))</f>
        <v>0.05595473046</v>
      </c>
      <c r="L10" s="6">
        <f>ABS(CORREL(D3:D43,F3:F43))</f>
        <v>0.08791652283</v>
      </c>
      <c r="M10" s="6">
        <f>ABS(CORREL(E3:E43,F3:F43))</f>
        <v>0.08035204994</v>
      </c>
      <c r="N10" s="6">
        <v>1.0</v>
      </c>
    </row>
    <row r="11">
      <c r="A11" s="8">
        <v>121000.0</v>
      </c>
      <c r="B11" s="8">
        <v>42.1</v>
      </c>
      <c r="C11" s="8">
        <v>2.0</v>
      </c>
      <c r="D11" s="8">
        <v>4.0</v>
      </c>
      <c r="E11" s="8">
        <v>2020.0</v>
      </c>
      <c r="F11" s="8">
        <v>30.0</v>
      </c>
    </row>
    <row r="12">
      <c r="A12" s="8">
        <v>320000.0</v>
      </c>
      <c r="B12" s="8">
        <v>175.6</v>
      </c>
      <c r="C12" s="8">
        <v>2.0</v>
      </c>
      <c r="D12" s="8">
        <v>5.0</v>
      </c>
      <c r="E12" s="8">
        <v>2025.0</v>
      </c>
      <c r="F12" s="8">
        <v>40.0</v>
      </c>
    </row>
    <row r="13">
      <c r="A13" s="8">
        <v>97900.0</v>
      </c>
      <c r="B13" s="8">
        <v>56.6</v>
      </c>
      <c r="C13" s="8">
        <v>3.0</v>
      </c>
      <c r="D13" s="8">
        <v>2.0</v>
      </c>
      <c r="E13" s="8">
        <v>2025.0</v>
      </c>
      <c r="F13" s="8">
        <v>7.0</v>
      </c>
    </row>
    <row r="14">
      <c r="A14" s="8">
        <v>135000.0</v>
      </c>
      <c r="B14" s="8">
        <v>79.3</v>
      </c>
      <c r="C14" s="8">
        <v>3.0</v>
      </c>
      <c r="D14" s="8">
        <v>5.0</v>
      </c>
      <c r="E14" s="8">
        <v>2011.0</v>
      </c>
      <c r="F14" s="8">
        <v>20.0</v>
      </c>
    </row>
    <row r="15">
      <c r="A15" s="8">
        <v>112900.0</v>
      </c>
      <c r="B15" s="8">
        <v>32.2</v>
      </c>
      <c r="C15" s="8">
        <v>1.0</v>
      </c>
      <c r="D15" s="8">
        <v>5.0</v>
      </c>
      <c r="E15" s="8">
        <v>2023.0</v>
      </c>
      <c r="F15" s="8">
        <v>10.0</v>
      </c>
    </row>
    <row r="16">
      <c r="A16" s="8">
        <v>235000.0</v>
      </c>
      <c r="B16" s="8">
        <v>107.7</v>
      </c>
      <c r="C16" s="8">
        <v>3.0</v>
      </c>
      <c r="D16" s="8">
        <v>16.0</v>
      </c>
      <c r="E16" s="8">
        <v>2004.0</v>
      </c>
      <c r="F16" s="8">
        <v>15.0</v>
      </c>
    </row>
    <row r="17">
      <c r="A17" s="8">
        <v>218000.0</v>
      </c>
      <c r="B17" s="8">
        <v>65.5</v>
      </c>
      <c r="C17" s="8">
        <v>2.0</v>
      </c>
      <c r="D17" s="8">
        <v>2.0</v>
      </c>
      <c r="E17" s="8">
        <v>2006.0</v>
      </c>
      <c r="F17" s="8">
        <v>20.0</v>
      </c>
    </row>
    <row r="18">
      <c r="A18" s="8">
        <v>63000.0</v>
      </c>
      <c r="B18" s="8">
        <v>35.3</v>
      </c>
      <c r="C18" s="8">
        <v>1.0</v>
      </c>
      <c r="D18" s="8">
        <v>2.0</v>
      </c>
      <c r="E18" s="8">
        <v>2004.0</v>
      </c>
      <c r="F18" s="8">
        <v>5.0</v>
      </c>
    </row>
    <row r="19">
      <c r="A19" s="8">
        <v>84000.0</v>
      </c>
      <c r="B19" s="8">
        <v>45.8</v>
      </c>
      <c r="C19" s="8">
        <v>2.0</v>
      </c>
      <c r="D19" s="8">
        <v>7.0</v>
      </c>
      <c r="E19" s="8">
        <v>2023.0</v>
      </c>
      <c r="F19" s="8">
        <v>20.0</v>
      </c>
    </row>
    <row r="20">
      <c r="A20" s="8">
        <v>189000.0</v>
      </c>
      <c r="B20" s="8">
        <v>94.2</v>
      </c>
      <c r="C20" s="8">
        <v>3.0</v>
      </c>
      <c r="D20" s="8">
        <v>12.0</v>
      </c>
      <c r="E20" s="8">
        <v>2017.0</v>
      </c>
      <c r="F20" s="8">
        <v>10.0</v>
      </c>
    </row>
    <row r="21">
      <c r="A21" s="8">
        <v>129000.0</v>
      </c>
      <c r="B21" s="8">
        <v>58.3</v>
      </c>
      <c r="C21" s="8">
        <v>2.0</v>
      </c>
      <c r="D21" s="8">
        <v>13.0</v>
      </c>
      <c r="E21" s="8">
        <v>2024.0</v>
      </c>
      <c r="F21" s="8">
        <v>10.0</v>
      </c>
    </row>
    <row r="22">
      <c r="A22" s="8">
        <v>104900.0</v>
      </c>
      <c r="B22" s="8">
        <v>58.2</v>
      </c>
      <c r="C22" s="8">
        <v>3.0</v>
      </c>
      <c r="D22" s="8">
        <v>8.0</v>
      </c>
      <c r="E22" s="8">
        <v>2023.0</v>
      </c>
      <c r="F22" s="8">
        <v>10.0</v>
      </c>
    </row>
    <row r="23">
      <c r="A23" s="8">
        <v>284900.0</v>
      </c>
      <c r="B23" s="8">
        <v>133.1</v>
      </c>
      <c r="C23" s="8">
        <v>4.0</v>
      </c>
      <c r="D23" s="8">
        <v>4.0</v>
      </c>
      <c r="E23" s="8">
        <v>2007.0</v>
      </c>
      <c r="F23" s="8">
        <v>10.0</v>
      </c>
    </row>
    <row r="24">
      <c r="A24" s="8">
        <v>132700.0</v>
      </c>
      <c r="B24" s="8">
        <v>63.5</v>
      </c>
      <c r="C24" s="8">
        <v>3.0</v>
      </c>
      <c r="D24" s="8">
        <v>10.0</v>
      </c>
      <c r="E24" s="8">
        <v>2025.0</v>
      </c>
      <c r="F24" s="8">
        <v>1.0</v>
      </c>
    </row>
    <row r="25">
      <c r="A25" s="8">
        <v>144900.0</v>
      </c>
      <c r="B25" s="8">
        <v>55.6</v>
      </c>
      <c r="C25" s="8">
        <v>2.0</v>
      </c>
      <c r="D25" s="8">
        <v>22.0</v>
      </c>
      <c r="E25" s="8">
        <v>2021.0</v>
      </c>
      <c r="F25" s="8">
        <v>10.0</v>
      </c>
    </row>
    <row r="26">
      <c r="A26" s="8">
        <v>117500.0</v>
      </c>
      <c r="B26" s="8">
        <v>61.0</v>
      </c>
      <c r="C26" s="8">
        <v>2.0</v>
      </c>
      <c r="D26" s="8">
        <v>7.0</v>
      </c>
      <c r="E26" s="8">
        <v>2008.0</v>
      </c>
      <c r="F26" s="8">
        <v>15.0</v>
      </c>
    </row>
    <row r="27">
      <c r="A27" s="8">
        <v>87500.0</v>
      </c>
      <c r="B27" s="8">
        <v>35.2</v>
      </c>
      <c r="C27" s="8">
        <v>1.0</v>
      </c>
      <c r="D27" s="8">
        <v>1.0</v>
      </c>
      <c r="E27" s="8">
        <v>1987.0</v>
      </c>
      <c r="F27" s="8">
        <v>9.0</v>
      </c>
    </row>
    <row r="28">
      <c r="A28" s="8">
        <v>65000.0</v>
      </c>
      <c r="B28" s="8">
        <v>34.9</v>
      </c>
      <c r="C28" s="8">
        <v>1.0</v>
      </c>
      <c r="D28" s="8">
        <v>8.0</v>
      </c>
      <c r="E28" s="8">
        <v>1976.0</v>
      </c>
      <c r="F28" s="8">
        <v>15.0</v>
      </c>
    </row>
    <row r="29">
      <c r="A29" s="8">
        <v>63700.0</v>
      </c>
      <c r="B29" s="8">
        <v>32.0</v>
      </c>
      <c r="C29" s="8">
        <v>1.0</v>
      </c>
      <c r="D29" s="8">
        <v>2.0</v>
      </c>
      <c r="E29" s="8">
        <v>1961.0</v>
      </c>
      <c r="F29" s="8">
        <v>10.0</v>
      </c>
    </row>
    <row r="30">
      <c r="A30" s="8">
        <v>87500.0</v>
      </c>
      <c r="B30" s="8">
        <v>34.6</v>
      </c>
      <c r="C30" s="8">
        <v>1.0</v>
      </c>
      <c r="D30" s="8">
        <v>9.0</v>
      </c>
      <c r="E30" s="8">
        <v>2023.0</v>
      </c>
      <c r="F30" s="8">
        <v>10.0</v>
      </c>
    </row>
    <row r="31">
      <c r="A31" s="8">
        <v>77900.0</v>
      </c>
      <c r="B31" s="8">
        <v>44.9</v>
      </c>
      <c r="C31" s="8">
        <v>1.0</v>
      </c>
      <c r="D31" s="8">
        <v>11.0</v>
      </c>
      <c r="E31" s="8">
        <v>2010.0</v>
      </c>
      <c r="F31" s="8">
        <v>15.0</v>
      </c>
    </row>
    <row r="32">
      <c r="A32" s="8">
        <v>190000.0</v>
      </c>
      <c r="B32" s="8">
        <v>90.3</v>
      </c>
      <c r="C32" s="8">
        <v>3.0</v>
      </c>
      <c r="D32" s="8">
        <v>16.0</v>
      </c>
      <c r="E32" s="8">
        <v>2025.0</v>
      </c>
      <c r="F32" s="8">
        <v>8.0</v>
      </c>
    </row>
    <row r="33">
      <c r="A33" s="8">
        <v>87000.0</v>
      </c>
      <c r="B33" s="8">
        <v>26.1</v>
      </c>
      <c r="C33" s="8">
        <v>1.0</v>
      </c>
      <c r="D33" s="8">
        <v>24.0</v>
      </c>
      <c r="E33" s="8">
        <v>2022.0</v>
      </c>
      <c r="F33" s="8">
        <v>8.0</v>
      </c>
    </row>
    <row r="34">
      <c r="A34" s="8">
        <v>109000.0</v>
      </c>
      <c r="B34" s="8">
        <v>39.5</v>
      </c>
      <c r="C34" s="8">
        <v>2.0</v>
      </c>
      <c r="D34" s="8">
        <v>18.0</v>
      </c>
      <c r="E34" s="8">
        <v>2021.0</v>
      </c>
      <c r="F34" s="8">
        <v>3.0</v>
      </c>
    </row>
    <row r="35">
      <c r="A35" s="8">
        <v>130000.0</v>
      </c>
      <c r="B35" s="8">
        <v>68.4</v>
      </c>
      <c r="C35" s="8">
        <v>1.0</v>
      </c>
      <c r="D35" s="8">
        <v>7.0</v>
      </c>
      <c r="E35" s="8">
        <v>2017.0</v>
      </c>
      <c r="F35" s="8">
        <v>10.0</v>
      </c>
    </row>
    <row r="36">
      <c r="A36" s="8">
        <v>104000.0</v>
      </c>
      <c r="B36" s="8">
        <v>49.9</v>
      </c>
      <c r="C36" s="8">
        <v>2.0</v>
      </c>
      <c r="D36" s="8">
        <v>5.0</v>
      </c>
      <c r="E36" s="8">
        <v>1969.0</v>
      </c>
      <c r="F36" s="8">
        <v>3.0</v>
      </c>
    </row>
    <row r="37">
      <c r="A37" s="8">
        <v>135000.0</v>
      </c>
      <c r="B37" s="8">
        <v>57.1</v>
      </c>
      <c r="C37" s="8">
        <v>3.0</v>
      </c>
      <c r="D37" s="8">
        <v>2.0</v>
      </c>
      <c r="E37" s="8">
        <v>2024.0</v>
      </c>
      <c r="F37" s="8">
        <v>10.0</v>
      </c>
    </row>
    <row r="38">
      <c r="A38" s="8">
        <v>93000.0</v>
      </c>
      <c r="B38" s="8">
        <v>37.5</v>
      </c>
      <c r="C38" s="8">
        <v>1.0</v>
      </c>
      <c r="D38" s="8">
        <v>24.0</v>
      </c>
      <c r="E38" s="8">
        <v>2025.0</v>
      </c>
      <c r="F38" s="8">
        <v>2.0</v>
      </c>
    </row>
    <row r="39">
      <c r="A39" s="8">
        <v>112000.0</v>
      </c>
      <c r="B39" s="8">
        <v>60.0</v>
      </c>
      <c r="C39" s="8">
        <v>2.0</v>
      </c>
      <c r="D39" s="8">
        <v>2.0</v>
      </c>
      <c r="E39" s="8">
        <v>2025.0</v>
      </c>
      <c r="F39" s="8">
        <v>20.0</v>
      </c>
    </row>
    <row r="40">
      <c r="A40" s="8">
        <v>58000.0</v>
      </c>
      <c r="B40" s="8">
        <v>30.3</v>
      </c>
      <c r="C40" s="8">
        <v>1.0</v>
      </c>
      <c r="D40" s="8">
        <v>1.0</v>
      </c>
      <c r="E40" s="8">
        <v>1961.0</v>
      </c>
      <c r="F40" s="8">
        <v>8.0</v>
      </c>
    </row>
    <row r="41">
      <c r="A41" s="8">
        <v>64900.0</v>
      </c>
      <c r="B41" s="8">
        <v>33.3</v>
      </c>
      <c r="C41" s="8">
        <v>1.0</v>
      </c>
      <c r="D41" s="8">
        <v>5.0</v>
      </c>
      <c r="E41" s="8">
        <v>1974.0</v>
      </c>
      <c r="F41" s="8">
        <v>15.0</v>
      </c>
    </row>
    <row r="42">
      <c r="A42" s="8">
        <v>115000.0</v>
      </c>
      <c r="B42" s="8">
        <v>58.9</v>
      </c>
      <c r="C42" s="8">
        <v>2.0</v>
      </c>
      <c r="D42" s="8">
        <v>10.0</v>
      </c>
      <c r="E42" s="8">
        <v>2022.0</v>
      </c>
      <c r="F42" s="8">
        <v>11.0</v>
      </c>
    </row>
    <row r="43">
      <c r="A43" s="8">
        <v>101000.0</v>
      </c>
      <c r="B43" s="8">
        <v>49.8</v>
      </c>
      <c r="C43" s="8">
        <v>2.0</v>
      </c>
      <c r="D43" s="8">
        <v>2.0</v>
      </c>
      <c r="E43" s="8">
        <v>1990.0</v>
      </c>
      <c r="F43" s="8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5" max="11" width="24.75"/>
  </cols>
  <sheetData>
    <row r="1">
      <c r="A1" s="1" t="s">
        <v>0</v>
      </c>
      <c r="B1" s="1" t="s">
        <v>1</v>
      </c>
    </row>
    <row r="2">
      <c r="A2" s="4" t="s">
        <v>6</v>
      </c>
      <c r="B2" s="4" t="s">
        <v>7</v>
      </c>
    </row>
    <row r="3">
      <c r="A3" s="7">
        <v>107010.0</v>
      </c>
      <c r="B3" s="7">
        <v>73.8</v>
      </c>
      <c r="E3" s="2"/>
      <c r="F3" s="3" t="s">
        <v>6</v>
      </c>
      <c r="G3" s="3" t="s">
        <v>7</v>
      </c>
      <c r="H3" s="3"/>
      <c r="I3" s="3"/>
      <c r="J3" s="3"/>
      <c r="K3" s="3"/>
    </row>
    <row r="4">
      <c r="A4" s="7">
        <v>235000.0</v>
      </c>
      <c r="B4" s="7">
        <v>98.1</v>
      </c>
      <c r="E4" s="5" t="s">
        <v>12</v>
      </c>
      <c r="F4" s="6">
        <f t="shared" ref="F4:G4" si="1">AVERAGE(A3:A43)</f>
        <v>154573.7805</v>
      </c>
      <c r="G4" s="6">
        <f t="shared" si="1"/>
        <v>61.17439024</v>
      </c>
      <c r="H4" s="6"/>
      <c r="I4" s="6"/>
      <c r="J4" s="6"/>
      <c r="K4" s="6"/>
    </row>
    <row r="5">
      <c r="A5" s="7">
        <v>169000.0</v>
      </c>
      <c r="B5" s="7">
        <v>76.9</v>
      </c>
    </row>
    <row r="6">
      <c r="A6" s="7">
        <v>74000.0</v>
      </c>
      <c r="B6" s="8">
        <v>45.0</v>
      </c>
      <c r="E6" s="9"/>
      <c r="F6" s="6" t="s">
        <v>6</v>
      </c>
      <c r="G6" s="6" t="s">
        <v>14</v>
      </c>
      <c r="H6" s="6"/>
      <c r="I6" s="6"/>
      <c r="J6" s="6"/>
      <c r="K6" s="6"/>
    </row>
    <row r="7">
      <c r="A7" s="7">
        <v>108000.0</v>
      </c>
      <c r="B7" s="8">
        <v>55.6</v>
      </c>
      <c r="E7" s="6" t="s">
        <v>6</v>
      </c>
      <c r="F7" s="6">
        <v>1.0</v>
      </c>
      <c r="G7" s="6" t="s">
        <v>13</v>
      </c>
      <c r="H7" s="10"/>
      <c r="I7" s="6"/>
      <c r="J7" s="6"/>
      <c r="K7" s="6"/>
    </row>
    <row r="8">
      <c r="A8" s="7">
        <v>498000.0</v>
      </c>
      <c r="B8" s="8">
        <v>122.0</v>
      </c>
      <c r="E8" s="6" t="s">
        <v>7</v>
      </c>
      <c r="F8" s="11">
        <f>ABS(CORREL($A$3:$A$43,B3:B43))</f>
        <v>0.409143931</v>
      </c>
      <c r="G8" s="6">
        <v>1.0</v>
      </c>
      <c r="H8" s="6"/>
      <c r="I8" s="6"/>
      <c r="J8" s="6"/>
      <c r="K8" s="6"/>
    </row>
    <row r="9">
      <c r="A9" s="8">
        <v>99900.0</v>
      </c>
      <c r="B9" s="8">
        <v>48.9</v>
      </c>
      <c r="E9" s="6"/>
      <c r="F9" s="13"/>
      <c r="G9" s="6"/>
      <c r="H9" s="6"/>
      <c r="I9" s="6"/>
      <c r="J9" s="6"/>
      <c r="K9" s="6"/>
    </row>
    <row r="10">
      <c r="A10" s="8">
        <v>876415.0</v>
      </c>
      <c r="B10" s="8">
        <v>41.15</v>
      </c>
      <c r="E10" s="6"/>
      <c r="F10" s="13"/>
      <c r="G10" s="6"/>
      <c r="H10" s="6"/>
      <c r="I10" s="6"/>
      <c r="J10" s="6"/>
      <c r="K10" s="6"/>
    </row>
    <row r="11">
      <c r="A11" s="8">
        <v>121000.0</v>
      </c>
      <c r="B11" s="8">
        <v>42.1</v>
      </c>
      <c r="E11" s="6"/>
      <c r="F11" s="13"/>
      <c r="G11" s="6"/>
      <c r="H11" s="6"/>
      <c r="I11" s="6"/>
      <c r="J11" s="6"/>
      <c r="K11" s="6"/>
    </row>
    <row r="12">
      <c r="A12" s="8">
        <v>320000.0</v>
      </c>
      <c r="B12" s="8">
        <v>175.6</v>
      </c>
      <c r="E12" s="6"/>
      <c r="F12" s="13"/>
      <c r="G12" s="6"/>
      <c r="H12" s="6"/>
      <c r="I12" s="6"/>
      <c r="J12" s="6"/>
      <c r="K12" s="6"/>
    </row>
    <row r="13">
      <c r="A13" s="8">
        <v>97900.0</v>
      </c>
      <c r="B13" s="8">
        <v>56.6</v>
      </c>
    </row>
    <row r="14">
      <c r="A14" s="8">
        <v>135000.0</v>
      </c>
      <c r="B14" s="8">
        <v>79.3</v>
      </c>
    </row>
    <row r="15">
      <c r="A15" s="8">
        <v>112900.0</v>
      </c>
      <c r="B15" s="8">
        <v>32.2</v>
      </c>
    </row>
    <row r="16">
      <c r="A16" s="8">
        <v>235000.0</v>
      </c>
      <c r="B16" s="8">
        <v>107.7</v>
      </c>
    </row>
    <row r="17">
      <c r="A17" s="8">
        <v>218000.0</v>
      </c>
      <c r="B17" s="8">
        <v>65.5</v>
      </c>
    </row>
    <row r="18">
      <c r="A18" s="8">
        <v>63000.0</v>
      </c>
      <c r="B18" s="8">
        <v>35.3</v>
      </c>
    </row>
    <row r="19">
      <c r="A19" s="8">
        <v>84000.0</v>
      </c>
      <c r="B19" s="8">
        <v>45.8</v>
      </c>
    </row>
    <row r="20">
      <c r="A20" s="8">
        <v>189000.0</v>
      </c>
      <c r="B20" s="8">
        <v>94.2</v>
      </c>
    </row>
    <row r="21">
      <c r="A21" s="8">
        <v>129000.0</v>
      </c>
      <c r="B21" s="8">
        <v>58.3</v>
      </c>
    </row>
    <row r="22">
      <c r="A22" s="8">
        <v>104900.0</v>
      </c>
      <c r="B22" s="8">
        <v>58.2</v>
      </c>
    </row>
    <row r="23">
      <c r="A23" s="8">
        <v>284900.0</v>
      </c>
      <c r="B23" s="8">
        <v>133.1</v>
      </c>
    </row>
    <row r="24">
      <c r="A24" s="8">
        <v>132700.0</v>
      </c>
      <c r="B24" s="8">
        <v>63.5</v>
      </c>
    </row>
    <row r="25">
      <c r="A25" s="8">
        <v>144900.0</v>
      </c>
      <c r="B25" s="8">
        <v>55.6</v>
      </c>
    </row>
    <row r="26">
      <c r="A26" s="8">
        <v>117500.0</v>
      </c>
      <c r="B26" s="8">
        <v>61.0</v>
      </c>
    </row>
    <row r="27">
      <c r="A27" s="8">
        <v>87500.0</v>
      </c>
      <c r="B27" s="8">
        <v>35.2</v>
      </c>
    </row>
    <row r="28">
      <c r="A28" s="8">
        <v>65000.0</v>
      </c>
      <c r="B28" s="8">
        <v>34.9</v>
      </c>
    </row>
    <row r="29">
      <c r="A29" s="8">
        <v>63700.0</v>
      </c>
      <c r="B29" s="8">
        <v>32.0</v>
      </c>
    </row>
    <row r="30">
      <c r="A30" s="8">
        <v>87500.0</v>
      </c>
      <c r="B30" s="8">
        <v>34.6</v>
      </c>
    </row>
    <row r="31">
      <c r="A31" s="8">
        <v>77900.0</v>
      </c>
      <c r="B31" s="8">
        <v>44.9</v>
      </c>
    </row>
    <row r="32">
      <c r="A32" s="8">
        <v>190000.0</v>
      </c>
      <c r="B32" s="8">
        <v>90.3</v>
      </c>
    </row>
    <row r="33">
      <c r="A33" s="8">
        <v>87000.0</v>
      </c>
      <c r="B33" s="8">
        <v>26.1</v>
      </c>
    </row>
    <row r="34">
      <c r="A34" s="8">
        <v>109000.0</v>
      </c>
      <c r="B34" s="8">
        <v>39.5</v>
      </c>
    </row>
    <row r="35">
      <c r="A35" s="8">
        <v>130000.0</v>
      </c>
      <c r="B35" s="8">
        <v>68.4</v>
      </c>
    </row>
    <row r="36">
      <c r="A36" s="8">
        <v>104000.0</v>
      </c>
      <c r="B36" s="8">
        <v>49.9</v>
      </c>
    </row>
    <row r="37">
      <c r="A37" s="8">
        <v>135000.0</v>
      </c>
      <c r="B37" s="8">
        <v>57.1</v>
      </c>
    </row>
    <row r="38">
      <c r="A38" s="8">
        <v>93000.0</v>
      </c>
      <c r="B38" s="8">
        <v>37.5</v>
      </c>
    </row>
    <row r="39">
      <c r="A39" s="8">
        <v>112000.0</v>
      </c>
      <c r="B39" s="8">
        <v>60.0</v>
      </c>
    </row>
    <row r="40">
      <c r="A40" s="8">
        <v>58000.0</v>
      </c>
      <c r="B40" s="8">
        <v>30.3</v>
      </c>
    </row>
    <row r="41">
      <c r="A41" s="8">
        <v>64900.0</v>
      </c>
      <c r="B41" s="8">
        <v>33.3</v>
      </c>
    </row>
    <row r="42">
      <c r="A42" s="8">
        <v>115000.0</v>
      </c>
      <c r="B42" s="8">
        <v>58.9</v>
      </c>
    </row>
    <row r="43">
      <c r="A43" s="8">
        <v>101000.0</v>
      </c>
      <c r="B43" s="8">
        <v>49.8</v>
      </c>
    </row>
  </sheetData>
  <drawing r:id="rId1"/>
</worksheet>
</file>