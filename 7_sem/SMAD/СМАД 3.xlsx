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<sst xmlns="http://schemas.openxmlformats.org/spreadsheetml/2006/main" count="46" uniqueCount="37">
  <si>
    <t>t</t>
  </si>
  <si>
    <t>x(t)</t>
  </si>
  <si>
    <t>y(t)</t>
  </si>
  <si>
    <t>xt^2</t>
  </si>
  <si>
    <t>xt - x</t>
  </si>
  <si>
    <t>(xt - x)^2</t>
  </si>
  <si>
    <t>yt - y</t>
  </si>
  <si>
    <t>(yt - y)^2</t>
  </si>
  <si>
    <t>(xt - x)(yt - y)</t>
  </si>
  <si>
    <t>yt</t>
  </si>
  <si>
    <t>et</t>
  </si>
  <si>
    <t>et^2</t>
  </si>
  <si>
    <t>st^2</t>
  </si>
  <si>
    <t>y = 120 + 8 * x</t>
  </si>
  <si>
    <t>Среднее</t>
  </si>
  <si>
    <t>Сумма</t>
  </si>
  <si>
    <t>а1=</t>
  </si>
  <si>
    <t>a0=</t>
  </si>
  <si>
    <t>несмещенная оценка дисперсии случайных переменных</t>
  </si>
  <si>
    <t>несмещенная оценка дисперсии переменной а1</t>
  </si>
  <si>
    <t>несмещенная оценка дисперсии переменной а0</t>
  </si>
  <si>
    <t>квантиль распределения Стьюдента</t>
  </si>
  <si>
    <t>γ =</t>
  </si>
  <si>
    <t>наблюдаемое</t>
  </si>
  <si>
    <t>a1=</t>
  </si>
  <si>
    <t>статистически значимый</t>
  </si>
  <si>
    <t>Коэффициент детерминации модели</t>
  </si>
  <si>
    <t>Хорошо объясняет модель</t>
  </si>
  <si>
    <t>квантиль распределения Фишера</t>
  </si>
  <si>
    <t>модель значима</t>
  </si>
  <si>
    <t>^y(t)</t>
  </si>
  <si>
    <t>левый, y=0.9</t>
  </si>
  <si>
    <t>правый, y=0.9</t>
  </si>
  <si>
    <t>левый, y=0.95</t>
  </si>
  <si>
    <t>правый, y=0.95</t>
  </si>
  <si>
    <t>левый, y=0.99</t>
  </si>
  <si>
    <t>правый, y=0.99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</si>
</sst>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Border="1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1" xfId="0" applyFont="1" applyNumberForma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vertical="center"/>
    </xf>
    <xf borderId="0" fillId="2" fontId="4" numFmtId="0" xfId="0" applyFill="1" applyFont="1"/>
    <xf borderId="0" fillId="3" fontId="4" numFmtId="0" xfId="0" applyAlignment="1" applyFill="1" applyFont="1">
      <alignment readingOrder="0"/>
    </xf>
    <xf borderId="0" fillId="3" fontId="4" numFmtId="0" xfId="0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'Лист1'!$C$1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'Лист1'!$B$2:$B$21</c:f>
            </c:numRef>
          </c:xVal>
          <c:yVal>
            <c:numRef>
              <c:f>'Лист1'!$C$2:$C$21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44870"/>
        <c:axId val="1534551645"/>
      </c:scatterChart>
      <c:valAx>
        <c:axId val="398644870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551645"/>
      </c:valAx>
      <c:valAx>
        <c:axId val="1534551645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644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 и правый, y=0.9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'Лист1'!$B$63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'Лист1'!$B$64:$B$72</c:f>
              <c:numCache/>
            </c:numRef>
          </c:val>
          <c:smooth val="0"/>
        </c:ser>
        <c:ser>
          <c:idx val="1"/>
          <c:order val="1"/>
          <c:tx>
            <c:strRef>
              <c:f>'Лист1'!$C$63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'Лист1'!$C$64:$C$72</c:f>
              <c:numCache/>
            </c:numRef>
          </c:val>
          <c:smooth val="0"/>
        </c:ser>
        <c:ser>
          <c:idx val="2"/>
          <c:order val="2"/>
          <c:tx>
            <c:strRef>
              <c:f>'Лист1'!$D$63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'Лист1'!$D$64:$D$72</c:f>
              <c:numCache/>
            </c:numRef>
          </c:val>
          <c:smooth val="0"/>
        </c:ser>
        <c:axId val="1621851467"/>
        <c:axId val="163976683"/>
      </c:lineChart>
      <c:catAx>
        <c:axId val="1621851467"/>
        <c:scaling>
          <c:orientation val="minMax"/>
          <c:max val="2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76683"/>
      </c:catAx>
      <c:valAx>
        <c:axId val="163976683"/>
        <c:scaling>
          <c:orientation val="minMax"/>
          <c:max val="3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851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y=0.95 и правый, y=0.95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'Лист1'!$B$63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'Лист1'!$B$64:$B$72</c:f>
              <c:numCache/>
            </c:numRef>
          </c:val>
          <c:smooth val="0"/>
        </c:ser>
        <c:ser>
          <c:idx val="1"/>
          <c:order val="1"/>
          <c:tx>
            <c:strRef>
              <c:f>'Лист1'!$E$63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'Лист1'!$E$64:$E$72</c:f>
              <c:numCache/>
            </c:numRef>
          </c:val>
          <c:smooth val="0"/>
        </c:ser>
        <c:ser>
          <c:idx val="2"/>
          <c:order val="2"/>
          <c:tx>
            <c:strRef>
              <c:f>'Лист1'!$F$63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'Лист1'!$F$64:$F$72</c:f>
              <c:numCache/>
            </c:numRef>
          </c:val>
          <c:smooth val="0"/>
        </c:ser>
        <c:axId val="1123073012"/>
        <c:axId val="1478334388"/>
      </c:lineChart>
      <c:catAx>
        <c:axId val="1123073012"/>
        <c:scaling>
          <c:orientation val="minMax"/>
          <c:max val="2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334388"/>
      </c:catAx>
      <c:valAx>
        <c:axId val="1478334388"/>
        <c:scaling>
          <c:orientation val="minMax"/>
          <c:max val="3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073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y=0.99 и правый, y=0.99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'Лист1'!$B$63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'Лист1'!$B$64:$B$72</c:f>
              <c:numCache/>
            </c:numRef>
          </c:val>
          <c:smooth val="0"/>
        </c:ser>
        <c:ser>
          <c:idx val="1"/>
          <c:order val="1"/>
          <c:tx>
            <c:strRef>
              <c:f>'Лист1'!$G$63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'Лист1'!$G$64:$G$72</c:f>
              <c:numCache/>
            </c:numRef>
          </c:val>
          <c:smooth val="0"/>
        </c:ser>
        <c:ser>
          <c:idx val="2"/>
          <c:order val="2"/>
          <c:tx>
            <c:strRef>
              <c:f>'Лист1'!$H$63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'Лист1'!$A$64:$A$72</c:f>
            </c:strRef>
          </c:cat>
          <c:val>
            <c:numRef>
              <c:f>'Лист1'!$H$64:$H$72</c:f>
              <c:numCache/>
            </c:numRef>
          </c:val>
          <c:smooth val="0"/>
        </c:ser>
        <c:axId val="1801166982"/>
        <c:axId val="15592638"/>
      </c:lineChart>
      <c:catAx>
        <c:axId val="1801166982"/>
        <c:scaling>
          <c:orientation val="minMax"/>
          <c:max val="2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2638"/>
      </c:catAx>
      <c:valAx>
        <c:axId val="15592638"/>
        <c:scaling>
          <c:orientation val="minMax"/>
          <c:max val="3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166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'Лист1'!$K$1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'Лист1'!$B$2:$B$21</c:f>
            </c:numRef>
          </c:xVal>
          <c:yVal>
            <c:numRef>
              <c:f>'Лист1'!$K$2:$K$21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8370"/>
        <c:axId val="180097783"/>
      </c:scatterChart>
      <c:valAx>
        <c:axId val="409383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97783"/>
      </c:valAx>
      <c:valAx>
        <c:axId val="180097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38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'Лист1'!$C$1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'Лист1'!$B$2:$B$21</c:f>
            </c:numRef>
          </c:xVal>
          <c:yVal>
            <c:numRef>
              <c:f>'Лист1'!$C$2:$C$21</c:f>
              <c:numCache/>
            </c:numRef>
          </c:yVal>
        </c:ser>
        <c:ser>
          <c:idx val="1"/>
          <c:order val="1"/>
          <c:tx>
            <c:strRef>
              <c:f>'Лист1'!$J$1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'Лист1'!$B$2:$B$21</c:f>
            </c:numRef>
          </c:xVal>
          <c:yVal>
            <c:numRef>
              <c:f>'Лист1'!$J$2:$J$21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24405"/>
        <c:axId val="915990970"/>
      </c:scatterChart>
      <c:valAx>
        <c:axId val="1960724405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990970"/>
      </c:valAx>
      <c:valAx>
        <c:axId val="915990970"/>
        <c:scaling>
          <c:orientation val="minMax"/>
          <c:max val="3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724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image" Target="../media/image1.png"/><Relationship Id="rId9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4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933450</xdr:colOff>
      <xdr:row>0</xdr:row>
      <xdr:rowOff>0</xdr:rowOff>
    </xdr:from>
    <xdr:ext cx="4419600" cy="27336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266700</xdr:colOff>
      <xdr:row>73</xdr:row>
      <xdr:rowOff>66675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523875</xdr:colOff>
      <xdr:row>73</xdr:row>
      <xdr:rowOff>66675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781050</xdr:colOff>
      <xdr:row>73</xdr:row>
      <xdr:rowOff>66675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266700</xdr:colOff>
      <xdr:row>91</xdr:row>
      <xdr:rowOff>161925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266700</xdr:colOff>
      <xdr:row>112</xdr:row>
      <xdr:rowOff>85725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352425</xdr:colOff>
      <xdr:row>131</xdr:row>
      <xdr:rowOff>114300</xdr:rowOff>
    </xdr:from>
    <xdr:ext cx="4876800" cy="3333750"/>
    <xdr:pic>
      <xdr:nvPicPr>
        <xdr:cNvPr id="0" name="image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131</xdr:row>
      <xdr:rowOff>114300</xdr:rowOff>
    </xdr:from>
    <xdr:ext cx="4876800" cy="2590800"/>
    <xdr:pic>
      <xdr:nvPicPr>
        <xdr:cNvPr id="0" name="image3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131</xdr:row>
      <xdr:rowOff>114300</xdr:rowOff>
    </xdr:from>
    <xdr:ext cx="4876800" cy="3543300"/>
    <xdr:pic>
      <xdr:nvPicPr>
        <xdr:cNvPr id="0" name="image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400050</xdr:colOff>
      <xdr:row>131</xdr:row>
      <xdr:rowOff>114300</xdr:rowOff>
    </xdr:from>
    <xdr:ext cx="4876800" cy="2867025"/>
    <xdr:pic>
      <xdr:nvPicPr>
        <xdr:cNvPr id="0" name="image1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1.0</v>
      </c>
      <c r="B2" s="3">
        <v>14.0</v>
      </c>
      <c r="C2" s="3">
        <v>222.0</v>
      </c>
      <c r="D2" s="4">
        <f t="shared" ref="D2:D21" si="1">B2^2</f>
        <v>196</v>
      </c>
      <c r="E2" s="4">
        <f t="shared" ref="E2:E21" si="2">B2-$B$22</f>
        <v>-1.85</v>
      </c>
      <c r="F2" s="4">
        <f t="shared" ref="F2:F21" si="3">E2^2</f>
        <v>3.4225</v>
      </c>
      <c r="G2" s="4">
        <f t="shared" ref="G2:G21" si="4">C2-$C$22</f>
        <v>-25.75</v>
      </c>
      <c r="H2" s="4">
        <f t="shared" ref="H2:H21" si="5">G2^2</f>
        <v>663.0625</v>
      </c>
      <c r="I2" s="4">
        <f t="shared" ref="I2:I21" si="6">E2*G2</f>
        <v>47.6375</v>
      </c>
      <c r="J2" s="4">
        <f t="shared" ref="J2:J21" si="7">$B$27+$B$26*B2</f>
        <v>232.8045313</v>
      </c>
      <c r="K2" s="4">
        <f t="shared" ref="K2:K21" si="8">C2-J2</f>
        <v>-10.80453132</v>
      </c>
      <c r="L2" s="4">
        <f t="shared" ref="L2:L21" si="9">K2^2</f>
        <v>116.737897</v>
      </c>
      <c r="M2" s="4">
        <f t="shared" ref="M2:M21" si="10">L2/(COUNT($A$2:$A$21)-2)</f>
        <v>6.485438724</v>
      </c>
    </row>
    <row r="3">
      <c r="A3" s="3">
        <v>2.0</v>
      </c>
      <c r="B3" s="3">
        <v>16.0</v>
      </c>
      <c r="C3" s="3">
        <v>241.0</v>
      </c>
      <c r="D3" s="4">
        <f t="shared" si="1"/>
        <v>256</v>
      </c>
      <c r="E3" s="4">
        <f t="shared" si="2"/>
        <v>0.15</v>
      </c>
      <c r="F3" s="4">
        <f t="shared" si="3"/>
        <v>0.0225</v>
      </c>
      <c r="G3" s="4">
        <f t="shared" si="4"/>
        <v>-6.75</v>
      </c>
      <c r="H3" s="4">
        <f t="shared" si="5"/>
        <v>45.5625</v>
      </c>
      <c r="I3" s="4">
        <f t="shared" si="6"/>
        <v>-1.0125</v>
      </c>
      <c r="J3" s="4">
        <f t="shared" si="7"/>
        <v>248.9617948</v>
      </c>
      <c r="K3" s="4">
        <f t="shared" si="8"/>
        <v>-7.961794758</v>
      </c>
      <c r="L3" s="4">
        <f t="shared" si="9"/>
        <v>63.39017577</v>
      </c>
      <c r="M3" s="4">
        <f t="shared" si="10"/>
        <v>3.521676431</v>
      </c>
    </row>
    <row r="4">
      <c r="A4" s="3">
        <v>3.0</v>
      </c>
      <c r="B4" s="3">
        <v>17.0</v>
      </c>
      <c r="C4" s="3">
        <v>243.0</v>
      </c>
      <c r="D4" s="4">
        <f t="shared" si="1"/>
        <v>289</v>
      </c>
      <c r="E4" s="4">
        <f t="shared" si="2"/>
        <v>1.15</v>
      </c>
      <c r="F4" s="4">
        <f t="shared" si="3"/>
        <v>1.3225</v>
      </c>
      <c r="G4" s="4">
        <f t="shared" si="4"/>
        <v>-4.75</v>
      </c>
      <c r="H4" s="4">
        <f t="shared" si="5"/>
        <v>22.5625</v>
      </c>
      <c r="I4" s="4">
        <f t="shared" si="6"/>
        <v>-5.4625</v>
      </c>
      <c r="J4" s="4">
        <f t="shared" si="7"/>
        <v>257.0404265</v>
      </c>
      <c r="K4" s="4">
        <f t="shared" si="8"/>
        <v>-14.04042648</v>
      </c>
      <c r="L4" s="4">
        <f t="shared" si="9"/>
        <v>197.1335757</v>
      </c>
      <c r="M4" s="4">
        <f t="shared" si="10"/>
        <v>10.95186531</v>
      </c>
    </row>
    <row r="5">
      <c r="A5" s="3">
        <v>4.0</v>
      </c>
      <c r="B5" s="3">
        <v>19.0</v>
      </c>
      <c r="C5" s="3">
        <v>285.0</v>
      </c>
      <c r="D5" s="4">
        <f t="shared" si="1"/>
        <v>361</v>
      </c>
      <c r="E5" s="4">
        <f t="shared" si="2"/>
        <v>3.15</v>
      </c>
      <c r="F5" s="4">
        <f t="shared" si="3"/>
        <v>9.9225</v>
      </c>
      <c r="G5" s="4">
        <f t="shared" si="4"/>
        <v>37.25</v>
      </c>
      <c r="H5" s="4">
        <f t="shared" si="5"/>
        <v>1387.5625</v>
      </c>
      <c r="I5" s="4">
        <f t="shared" si="6"/>
        <v>117.3375</v>
      </c>
      <c r="J5" s="4">
        <f t="shared" si="7"/>
        <v>273.1976899</v>
      </c>
      <c r="K5" s="4">
        <f t="shared" si="8"/>
        <v>11.80231008</v>
      </c>
      <c r="L5" s="4">
        <f t="shared" si="9"/>
        <v>139.2945233</v>
      </c>
      <c r="M5" s="4">
        <f t="shared" si="10"/>
        <v>7.738584629</v>
      </c>
    </row>
    <row r="6">
      <c r="A6" s="3">
        <v>5.0</v>
      </c>
      <c r="B6" s="3">
        <v>18.0</v>
      </c>
      <c r="C6" s="3">
        <v>253.0</v>
      </c>
      <c r="D6" s="4">
        <f t="shared" si="1"/>
        <v>324</v>
      </c>
      <c r="E6" s="4">
        <f t="shared" si="2"/>
        <v>2.15</v>
      </c>
      <c r="F6" s="4">
        <f t="shared" si="3"/>
        <v>4.6225</v>
      </c>
      <c r="G6" s="4">
        <f t="shared" si="4"/>
        <v>5.25</v>
      </c>
      <c r="H6" s="4">
        <f t="shared" si="5"/>
        <v>27.5625</v>
      </c>
      <c r="I6" s="4">
        <f t="shared" si="6"/>
        <v>11.2875</v>
      </c>
      <c r="J6" s="4">
        <f t="shared" si="7"/>
        <v>265.1190582</v>
      </c>
      <c r="K6" s="4">
        <f t="shared" si="8"/>
        <v>-12.1190582</v>
      </c>
      <c r="L6" s="4">
        <f t="shared" si="9"/>
        <v>146.8715716</v>
      </c>
      <c r="M6" s="4">
        <f t="shared" si="10"/>
        <v>8.159531754</v>
      </c>
    </row>
    <row r="7">
      <c r="A7" s="3">
        <v>6.0</v>
      </c>
      <c r="B7" s="3">
        <v>15.0</v>
      </c>
      <c r="C7" s="3">
        <v>247.0</v>
      </c>
      <c r="D7" s="4">
        <f t="shared" si="1"/>
        <v>225</v>
      </c>
      <c r="E7" s="4">
        <f t="shared" si="2"/>
        <v>-0.85</v>
      </c>
      <c r="F7" s="4">
        <f t="shared" si="3"/>
        <v>0.7225</v>
      </c>
      <c r="G7" s="4">
        <f t="shared" si="4"/>
        <v>-0.75</v>
      </c>
      <c r="H7" s="4">
        <f t="shared" si="5"/>
        <v>0.5625</v>
      </c>
      <c r="I7" s="4">
        <f t="shared" si="6"/>
        <v>0.6375</v>
      </c>
      <c r="J7" s="4">
        <f t="shared" si="7"/>
        <v>240.883163</v>
      </c>
      <c r="K7" s="4">
        <f t="shared" si="8"/>
        <v>6.116836961</v>
      </c>
      <c r="L7" s="4">
        <f t="shared" si="9"/>
        <v>37.41569441</v>
      </c>
      <c r="M7" s="4">
        <f t="shared" si="10"/>
        <v>2.07864969</v>
      </c>
    </row>
    <row r="8">
      <c r="A8" s="3">
        <v>7.0</v>
      </c>
      <c r="B8" s="3">
        <v>14.0</v>
      </c>
      <c r="C8" s="3">
        <v>246.0</v>
      </c>
      <c r="D8" s="4">
        <f t="shared" si="1"/>
        <v>196</v>
      </c>
      <c r="E8" s="4">
        <f t="shared" si="2"/>
        <v>-1.85</v>
      </c>
      <c r="F8" s="4">
        <f t="shared" si="3"/>
        <v>3.4225</v>
      </c>
      <c r="G8" s="4">
        <f t="shared" si="4"/>
        <v>-1.75</v>
      </c>
      <c r="H8" s="4">
        <f t="shared" si="5"/>
        <v>3.0625</v>
      </c>
      <c r="I8" s="4">
        <f t="shared" si="6"/>
        <v>3.2375</v>
      </c>
      <c r="J8" s="4">
        <f t="shared" si="7"/>
        <v>232.8045313</v>
      </c>
      <c r="K8" s="4">
        <f t="shared" si="8"/>
        <v>13.19546868</v>
      </c>
      <c r="L8" s="4">
        <f t="shared" si="9"/>
        <v>174.1203937</v>
      </c>
      <c r="M8" s="4">
        <f t="shared" si="10"/>
        <v>9.673355206</v>
      </c>
    </row>
    <row r="9">
      <c r="A9" s="3">
        <v>8.0</v>
      </c>
      <c r="B9" s="3">
        <v>18.0</v>
      </c>
      <c r="C9" s="3">
        <v>276.0</v>
      </c>
      <c r="D9" s="4">
        <f t="shared" si="1"/>
        <v>324</v>
      </c>
      <c r="E9" s="4">
        <f t="shared" si="2"/>
        <v>2.15</v>
      </c>
      <c r="F9" s="4">
        <f t="shared" si="3"/>
        <v>4.6225</v>
      </c>
      <c r="G9" s="4">
        <f t="shared" si="4"/>
        <v>28.25</v>
      </c>
      <c r="H9" s="4">
        <f t="shared" si="5"/>
        <v>798.0625</v>
      </c>
      <c r="I9" s="4">
        <f t="shared" si="6"/>
        <v>60.7375</v>
      </c>
      <c r="J9" s="4">
        <f t="shared" si="7"/>
        <v>265.1190582</v>
      </c>
      <c r="K9" s="4">
        <f t="shared" si="8"/>
        <v>10.8809418</v>
      </c>
      <c r="L9" s="4">
        <f t="shared" si="9"/>
        <v>118.3948945</v>
      </c>
      <c r="M9" s="4">
        <f t="shared" si="10"/>
        <v>6.577494141</v>
      </c>
    </row>
    <row r="10">
      <c r="A10" s="3">
        <v>9.0</v>
      </c>
      <c r="B10" s="3">
        <v>17.0</v>
      </c>
      <c r="C10" s="3">
        <v>261.0</v>
      </c>
      <c r="D10" s="4">
        <f t="shared" si="1"/>
        <v>289</v>
      </c>
      <c r="E10" s="4">
        <f t="shared" si="2"/>
        <v>1.15</v>
      </c>
      <c r="F10" s="4">
        <f t="shared" si="3"/>
        <v>1.3225</v>
      </c>
      <c r="G10" s="4">
        <f t="shared" si="4"/>
        <v>13.25</v>
      </c>
      <c r="H10" s="4">
        <f t="shared" si="5"/>
        <v>175.5625</v>
      </c>
      <c r="I10" s="4">
        <f t="shared" si="6"/>
        <v>15.2375</v>
      </c>
      <c r="J10" s="4">
        <f t="shared" si="7"/>
        <v>257.0404265</v>
      </c>
      <c r="K10" s="4">
        <f t="shared" si="8"/>
        <v>3.959573523</v>
      </c>
      <c r="L10" s="4">
        <f t="shared" si="9"/>
        <v>15.67822248</v>
      </c>
      <c r="M10" s="4">
        <f t="shared" si="10"/>
        <v>0.8710123602</v>
      </c>
    </row>
    <row r="11">
      <c r="A11" s="3">
        <v>10.0</v>
      </c>
      <c r="B11" s="3">
        <v>15.0</v>
      </c>
      <c r="C11" s="3">
        <v>254.0</v>
      </c>
      <c r="D11" s="4">
        <f t="shared" si="1"/>
        <v>225</v>
      </c>
      <c r="E11" s="4">
        <f t="shared" si="2"/>
        <v>-0.85</v>
      </c>
      <c r="F11" s="4">
        <f t="shared" si="3"/>
        <v>0.7225</v>
      </c>
      <c r="G11" s="4">
        <f t="shared" si="4"/>
        <v>6.25</v>
      </c>
      <c r="H11" s="4">
        <f t="shared" si="5"/>
        <v>39.0625</v>
      </c>
      <c r="I11" s="4">
        <f t="shared" si="6"/>
        <v>-5.3125</v>
      </c>
      <c r="J11" s="4">
        <f t="shared" si="7"/>
        <v>240.883163</v>
      </c>
      <c r="K11" s="4">
        <f t="shared" si="8"/>
        <v>13.11683696</v>
      </c>
      <c r="L11" s="4">
        <f t="shared" si="9"/>
        <v>172.0514119</v>
      </c>
      <c r="M11" s="4">
        <f t="shared" si="10"/>
        <v>9.558411771</v>
      </c>
    </row>
    <row r="12">
      <c r="A12" s="3">
        <v>11.0</v>
      </c>
      <c r="B12" s="3">
        <v>13.0</v>
      </c>
      <c r="C12" s="3">
        <v>229.0</v>
      </c>
      <c r="D12" s="4">
        <f t="shared" si="1"/>
        <v>169</v>
      </c>
      <c r="E12" s="4">
        <f t="shared" si="2"/>
        <v>-2.85</v>
      </c>
      <c r="F12" s="4">
        <f t="shared" si="3"/>
        <v>8.1225</v>
      </c>
      <c r="G12" s="4">
        <f t="shared" si="4"/>
        <v>-18.75</v>
      </c>
      <c r="H12" s="4">
        <f t="shared" si="5"/>
        <v>351.5625</v>
      </c>
      <c r="I12" s="4">
        <f t="shared" si="6"/>
        <v>53.4375</v>
      </c>
      <c r="J12" s="4">
        <f t="shared" si="7"/>
        <v>224.7258996</v>
      </c>
      <c r="K12" s="4">
        <f t="shared" si="8"/>
        <v>4.2741004</v>
      </c>
      <c r="L12" s="4">
        <f t="shared" si="9"/>
        <v>18.26793423</v>
      </c>
      <c r="M12" s="4">
        <f t="shared" si="10"/>
        <v>1.014885235</v>
      </c>
    </row>
    <row r="13">
      <c r="A13" s="3">
        <v>12.0</v>
      </c>
      <c r="B13" s="3">
        <v>16.0</v>
      </c>
      <c r="C13" s="3">
        <v>249.0</v>
      </c>
      <c r="D13" s="4">
        <f t="shared" si="1"/>
        <v>256</v>
      </c>
      <c r="E13" s="4">
        <f t="shared" si="2"/>
        <v>0.15</v>
      </c>
      <c r="F13" s="4">
        <f t="shared" si="3"/>
        <v>0.0225</v>
      </c>
      <c r="G13" s="4">
        <f t="shared" si="4"/>
        <v>1.25</v>
      </c>
      <c r="H13" s="4">
        <f t="shared" si="5"/>
        <v>1.5625</v>
      </c>
      <c r="I13" s="4">
        <f t="shared" si="6"/>
        <v>0.1875</v>
      </c>
      <c r="J13" s="4">
        <f t="shared" si="7"/>
        <v>248.9617948</v>
      </c>
      <c r="K13" s="4">
        <f t="shared" si="8"/>
        <v>0.03820524211</v>
      </c>
      <c r="L13" s="4">
        <f t="shared" si="9"/>
        <v>0.001459640525</v>
      </c>
      <c r="M13" s="4">
        <f t="shared" si="10"/>
        <v>0.00008109114028</v>
      </c>
    </row>
    <row r="14">
      <c r="A14" s="3">
        <v>13.0</v>
      </c>
      <c r="B14" s="3">
        <v>17.0</v>
      </c>
      <c r="C14" s="3">
        <v>252.0</v>
      </c>
      <c r="D14" s="4">
        <f t="shared" si="1"/>
        <v>289</v>
      </c>
      <c r="E14" s="4">
        <f t="shared" si="2"/>
        <v>1.15</v>
      </c>
      <c r="F14" s="4">
        <f t="shared" si="3"/>
        <v>1.3225</v>
      </c>
      <c r="G14" s="4">
        <f t="shared" si="4"/>
        <v>4.25</v>
      </c>
      <c r="H14" s="4">
        <f t="shared" si="5"/>
        <v>18.0625</v>
      </c>
      <c r="I14" s="4">
        <f t="shared" si="6"/>
        <v>4.8875</v>
      </c>
      <c r="J14" s="4">
        <f t="shared" si="7"/>
        <v>257.0404265</v>
      </c>
      <c r="K14" s="4">
        <f t="shared" si="8"/>
        <v>-5.040426477</v>
      </c>
      <c r="L14" s="4">
        <f t="shared" si="9"/>
        <v>25.40589907</v>
      </c>
      <c r="M14" s="4">
        <f t="shared" si="10"/>
        <v>1.411438837</v>
      </c>
      <c r="O14" s="5" t="s">
        <v>13</v>
      </c>
    </row>
    <row r="15">
      <c r="A15" s="3">
        <v>14.0</v>
      </c>
      <c r="B15" s="3">
        <v>19.0</v>
      </c>
      <c r="C15" s="3">
        <v>279.0</v>
      </c>
      <c r="D15" s="4">
        <f t="shared" si="1"/>
        <v>361</v>
      </c>
      <c r="E15" s="4">
        <f t="shared" si="2"/>
        <v>3.15</v>
      </c>
      <c r="F15" s="4">
        <f t="shared" si="3"/>
        <v>9.9225</v>
      </c>
      <c r="G15" s="4">
        <f t="shared" si="4"/>
        <v>31.25</v>
      </c>
      <c r="H15" s="4">
        <f t="shared" si="5"/>
        <v>976.5625</v>
      </c>
      <c r="I15" s="4">
        <f t="shared" si="6"/>
        <v>98.4375</v>
      </c>
      <c r="J15" s="4">
        <f t="shared" si="7"/>
        <v>273.1976899</v>
      </c>
      <c r="K15" s="4">
        <f t="shared" si="8"/>
        <v>5.802310084</v>
      </c>
      <c r="L15" s="4">
        <f t="shared" si="9"/>
        <v>33.66680232</v>
      </c>
      <c r="M15" s="4">
        <f t="shared" si="10"/>
        <v>1.870377906</v>
      </c>
    </row>
    <row r="16">
      <c r="A16" s="3">
        <v>15.0</v>
      </c>
      <c r="B16" s="3">
        <v>18.0</v>
      </c>
      <c r="C16" s="3">
        <v>262.0</v>
      </c>
      <c r="D16" s="4">
        <f t="shared" si="1"/>
        <v>324</v>
      </c>
      <c r="E16" s="4">
        <f t="shared" si="2"/>
        <v>2.15</v>
      </c>
      <c r="F16" s="4">
        <f t="shared" si="3"/>
        <v>4.6225</v>
      </c>
      <c r="G16" s="4">
        <f t="shared" si="4"/>
        <v>14.25</v>
      </c>
      <c r="H16" s="4">
        <f t="shared" si="5"/>
        <v>203.0625</v>
      </c>
      <c r="I16" s="4">
        <f t="shared" si="6"/>
        <v>30.6375</v>
      </c>
      <c r="J16" s="4">
        <f t="shared" si="7"/>
        <v>265.1190582</v>
      </c>
      <c r="K16" s="4">
        <f t="shared" si="8"/>
        <v>-3.119058196</v>
      </c>
      <c r="L16" s="4">
        <f t="shared" si="9"/>
        <v>9.728524032</v>
      </c>
      <c r="M16" s="4">
        <f t="shared" si="10"/>
        <v>0.5404735573</v>
      </c>
    </row>
    <row r="17">
      <c r="A17" s="3">
        <v>16.0</v>
      </c>
      <c r="B17" s="3">
        <v>20.0</v>
      </c>
      <c r="C17" s="3">
        <v>275.0</v>
      </c>
      <c r="D17" s="4">
        <f t="shared" si="1"/>
        <v>400</v>
      </c>
      <c r="E17" s="4">
        <f t="shared" si="2"/>
        <v>4.15</v>
      </c>
      <c r="F17" s="4">
        <f t="shared" si="3"/>
        <v>17.2225</v>
      </c>
      <c r="G17" s="4">
        <f t="shared" si="4"/>
        <v>27.25</v>
      </c>
      <c r="H17" s="4">
        <f t="shared" si="5"/>
        <v>742.5625</v>
      </c>
      <c r="I17" s="4">
        <f t="shared" si="6"/>
        <v>113.0875</v>
      </c>
      <c r="J17" s="4">
        <f t="shared" si="7"/>
        <v>281.2763216</v>
      </c>
      <c r="K17" s="4">
        <f t="shared" si="8"/>
        <v>-6.276321635</v>
      </c>
      <c r="L17" s="4">
        <f t="shared" si="9"/>
        <v>39.39221326</v>
      </c>
      <c r="M17" s="4">
        <f t="shared" si="10"/>
        <v>2.188456292</v>
      </c>
    </row>
    <row r="18">
      <c r="A18" s="3">
        <v>17.0</v>
      </c>
      <c r="B18" s="3">
        <v>12.0</v>
      </c>
      <c r="C18" s="3">
        <v>211.0</v>
      </c>
      <c r="D18" s="4">
        <f t="shared" si="1"/>
        <v>144</v>
      </c>
      <c r="E18" s="4">
        <f t="shared" si="2"/>
        <v>-3.85</v>
      </c>
      <c r="F18" s="4">
        <f t="shared" si="3"/>
        <v>14.8225</v>
      </c>
      <c r="G18" s="4">
        <f t="shared" si="4"/>
        <v>-36.75</v>
      </c>
      <c r="H18" s="4">
        <f t="shared" si="5"/>
        <v>1350.5625</v>
      </c>
      <c r="I18" s="4">
        <f t="shared" si="6"/>
        <v>141.4875</v>
      </c>
      <c r="J18" s="4">
        <f t="shared" si="7"/>
        <v>216.6472679</v>
      </c>
      <c r="K18" s="4">
        <f t="shared" si="8"/>
        <v>-5.647267881</v>
      </c>
      <c r="L18" s="4">
        <f t="shared" si="9"/>
        <v>31.89163452</v>
      </c>
      <c r="M18" s="4">
        <f t="shared" si="10"/>
        <v>1.771757473</v>
      </c>
    </row>
    <row r="19">
      <c r="A19" s="3">
        <v>18.0</v>
      </c>
      <c r="B19" s="3">
        <v>13.0</v>
      </c>
      <c r="C19" s="3">
        <v>220.0</v>
      </c>
      <c r="D19" s="4">
        <f t="shared" si="1"/>
        <v>169</v>
      </c>
      <c r="E19" s="4">
        <f t="shared" si="2"/>
        <v>-2.85</v>
      </c>
      <c r="F19" s="4">
        <f t="shared" si="3"/>
        <v>8.1225</v>
      </c>
      <c r="G19" s="4">
        <f t="shared" si="4"/>
        <v>-27.75</v>
      </c>
      <c r="H19" s="4">
        <f t="shared" si="5"/>
        <v>770.0625</v>
      </c>
      <c r="I19" s="4">
        <f t="shared" si="6"/>
        <v>79.0875</v>
      </c>
      <c r="J19" s="4">
        <f t="shared" si="7"/>
        <v>224.7258996</v>
      </c>
      <c r="K19" s="4">
        <f t="shared" si="8"/>
        <v>-4.7258996</v>
      </c>
      <c r="L19" s="4">
        <f t="shared" si="9"/>
        <v>22.33412703</v>
      </c>
      <c r="M19" s="4">
        <f t="shared" si="10"/>
        <v>1.240784835</v>
      </c>
    </row>
    <row r="20">
      <c r="A20" s="3">
        <v>19.0</v>
      </c>
      <c r="B20" s="3">
        <v>12.0</v>
      </c>
      <c r="C20" s="3">
        <v>218.0</v>
      </c>
      <c r="D20" s="4">
        <f t="shared" si="1"/>
        <v>144</v>
      </c>
      <c r="E20" s="4">
        <f t="shared" si="2"/>
        <v>-3.85</v>
      </c>
      <c r="F20" s="4">
        <f t="shared" si="3"/>
        <v>14.8225</v>
      </c>
      <c r="G20" s="4">
        <f t="shared" si="4"/>
        <v>-29.75</v>
      </c>
      <c r="H20" s="4">
        <f t="shared" si="5"/>
        <v>885.0625</v>
      </c>
      <c r="I20" s="4">
        <f t="shared" si="6"/>
        <v>114.5375</v>
      </c>
      <c r="J20" s="4">
        <f t="shared" si="7"/>
        <v>216.6472679</v>
      </c>
      <c r="K20" s="4">
        <f t="shared" si="8"/>
        <v>1.352732119</v>
      </c>
      <c r="L20" s="4">
        <f t="shared" si="9"/>
        <v>1.829884186</v>
      </c>
      <c r="M20" s="4">
        <f t="shared" si="10"/>
        <v>0.1016602326</v>
      </c>
    </row>
    <row r="21">
      <c r="A21" s="3">
        <v>20.0</v>
      </c>
      <c r="B21" s="3">
        <v>14.0</v>
      </c>
      <c r="C21" s="3">
        <v>232.0</v>
      </c>
      <c r="D21" s="4">
        <f t="shared" si="1"/>
        <v>196</v>
      </c>
      <c r="E21" s="4">
        <f t="shared" si="2"/>
        <v>-1.85</v>
      </c>
      <c r="F21" s="4">
        <f t="shared" si="3"/>
        <v>3.4225</v>
      </c>
      <c r="G21" s="4">
        <f t="shared" si="4"/>
        <v>-15.75</v>
      </c>
      <c r="H21" s="4">
        <f t="shared" si="5"/>
        <v>248.0625</v>
      </c>
      <c r="I21" s="4">
        <f t="shared" si="6"/>
        <v>29.1375</v>
      </c>
      <c r="J21" s="4">
        <f t="shared" si="7"/>
        <v>232.8045313</v>
      </c>
      <c r="K21" s="4">
        <f t="shared" si="8"/>
        <v>-0.8045313194</v>
      </c>
      <c r="L21" s="4">
        <f t="shared" si="9"/>
        <v>0.6472706439</v>
      </c>
      <c r="M21" s="4">
        <f t="shared" si="10"/>
        <v>0.03595948022</v>
      </c>
    </row>
    <row r="22">
      <c r="A22" s="6" t="s">
        <v>14</v>
      </c>
      <c r="B22" s="7">
        <f t="shared" ref="B22:M22" si="11">AVERAGE(B2:B21)</f>
        <v>15.85</v>
      </c>
      <c r="C22" s="7">
        <f t="shared" si="11"/>
        <v>247.75</v>
      </c>
      <c r="D22" s="7">
        <f t="shared" si="11"/>
        <v>256.85</v>
      </c>
      <c r="E22" s="8">
        <f t="shared" si="11"/>
        <v>0</v>
      </c>
      <c r="F22" s="7">
        <f t="shared" si="11"/>
        <v>5.6275</v>
      </c>
      <c r="G22" s="8">
        <f t="shared" si="11"/>
        <v>0</v>
      </c>
      <c r="H22" s="7">
        <f t="shared" si="11"/>
        <v>435.4875</v>
      </c>
      <c r="I22" s="7">
        <f t="shared" si="11"/>
        <v>45.4625</v>
      </c>
      <c r="J22" s="7">
        <f t="shared" si="11"/>
        <v>247.75</v>
      </c>
      <c r="K22" s="8">
        <f t="shared" si="11"/>
        <v>0</v>
      </c>
      <c r="L22" s="7">
        <f t="shared" si="11"/>
        <v>68.21270546</v>
      </c>
      <c r="M22" s="7">
        <f t="shared" si="11"/>
        <v>3.789594748</v>
      </c>
    </row>
    <row r="23">
      <c r="A23" s="6" t="s">
        <v>15</v>
      </c>
      <c r="B23" s="7">
        <f t="shared" ref="B23:M23" si="12">SUM(B2:B21)</f>
        <v>317</v>
      </c>
      <c r="C23" s="7">
        <f t="shared" si="12"/>
        <v>4955</v>
      </c>
      <c r="D23" s="7">
        <f t="shared" si="12"/>
        <v>5137</v>
      </c>
      <c r="E23" s="8">
        <f t="shared" si="12"/>
        <v>0</v>
      </c>
      <c r="F23" s="7">
        <f t="shared" si="12"/>
        <v>112.55</v>
      </c>
      <c r="G23" s="8">
        <f t="shared" si="12"/>
        <v>0</v>
      </c>
      <c r="H23" s="7">
        <f t="shared" si="12"/>
        <v>8709.75</v>
      </c>
      <c r="I23" s="7">
        <f t="shared" si="12"/>
        <v>909.25</v>
      </c>
      <c r="J23" s="7">
        <f t="shared" si="12"/>
        <v>4955</v>
      </c>
      <c r="K23" s="8">
        <f t="shared" si="12"/>
        <v>0</v>
      </c>
      <c r="L23" s="7">
        <f t="shared" si="12"/>
        <v>1364.254109</v>
      </c>
      <c r="M23" s="7">
        <f t="shared" si="12"/>
        <v>75.79189496</v>
      </c>
    </row>
    <row r="26">
      <c r="A26" s="6" t="s">
        <v>16</v>
      </c>
      <c r="B26" s="7">
        <f>I23/F23</f>
        <v>8.078631719</v>
      </c>
    </row>
    <row r="27">
      <c r="A27" s="6" t="s">
        <v>17</v>
      </c>
      <c r="B27" s="7">
        <f>C22-B22*B26</f>
        <v>119.7036873</v>
      </c>
    </row>
    <row r="29" ht="63.75" customHeight="1">
      <c r="A29" s="9" t="s">
        <v>18</v>
      </c>
      <c r="B29" s="10">
        <f>M23</f>
        <v>75.79189496</v>
      </c>
    </row>
    <row r="30">
      <c r="A30" s="9" t="s">
        <v>19</v>
      </c>
      <c r="B30" s="7">
        <f>B29/(20*(D22-B22^2))</f>
        <v>0.6734064412</v>
      </c>
    </row>
    <row r="31">
      <c r="A31" s="9" t="s">
        <v>20</v>
      </c>
      <c r="B31" s="7">
        <f>B30*D22</f>
        <v>172.9644444</v>
      </c>
    </row>
    <row r="34">
      <c r="A34" s="6" t="s">
        <v>21</v>
      </c>
    </row>
    <row r="35">
      <c r="A35" s="6" t="s">
        <v>22</v>
      </c>
      <c r="B35" s="6">
        <v>0.9</v>
      </c>
      <c r="D35" s="11">
        <f t="shared" ref="D35:D37" si="13">TINV(1-B35,COUNT($A$1:$A$21)-2)</f>
        <v>1.734063607</v>
      </c>
    </row>
    <row r="36">
      <c r="A36" s="6" t="s">
        <v>22</v>
      </c>
      <c r="B36" s="6">
        <v>0.95</v>
      </c>
      <c r="D36" s="11">
        <f t="shared" si="13"/>
        <v>2.10092204</v>
      </c>
    </row>
    <row r="37">
      <c r="A37" s="6" t="s">
        <v>22</v>
      </c>
      <c r="B37" s="6">
        <v>0.99</v>
      </c>
      <c r="D37" s="11">
        <f t="shared" si="13"/>
        <v>2.878440473</v>
      </c>
    </row>
    <row r="39">
      <c r="A39" s="6" t="s">
        <v>23</v>
      </c>
    </row>
    <row r="40">
      <c r="A40" s="6" t="s">
        <v>24</v>
      </c>
      <c r="B40" s="7">
        <f>B26/SQRT(B30)</f>
        <v>9.844624991</v>
      </c>
      <c r="C40" s="9" t="s">
        <v>25</v>
      </c>
      <c r="D40" s="7">
        <f t="shared" ref="D40:D42" si="14">$B$26-SQRT($B$30)*D35</f>
        <v>6.655635793</v>
      </c>
      <c r="E40" s="7">
        <f t="shared" ref="E40:E42" si="15">$B$26+SQRT($B$30)*D35</f>
        <v>9.501627645</v>
      </c>
    </row>
    <row r="41">
      <c r="D41" s="7">
        <f t="shared" si="14"/>
        <v>6.354586827</v>
      </c>
      <c r="E41" s="7">
        <f t="shared" si="15"/>
        <v>9.802676612</v>
      </c>
    </row>
    <row r="42">
      <c r="D42" s="7">
        <f t="shared" si="14"/>
        <v>5.71654474</v>
      </c>
      <c r="E42" s="7">
        <f t="shared" si="15"/>
        <v>10.4407187</v>
      </c>
    </row>
    <row r="45">
      <c r="A45" s="6" t="s">
        <v>17</v>
      </c>
      <c r="B45" s="7">
        <f>B27/SQRT(B31)</f>
        <v>9.101838183</v>
      </c>
      <c r="C45" s="9" t="s">
        <v>25</v>
      </c>
      <c r="D45" s="7">
        <f t="shared" ref="D45:D47" si="16">$B$27-SQRT($B$31)*D35</f>
        <v>96.89798543</v>
      </c>
      <c r="E45" s="7">
        <f t="shared" ref="E45:E47" si="17">$B$27+SQRT($B$31)*D35</f>
        <v>142.5093891</v>
      </c>
    </row>
    <row r="46">
      <c r="D46" s="7">
        <f t="shared" si="16"/>
        <v>92.07321198</v>
      </c>
      <c r="E46" s="7">
        <f t="shared" si="17"/>
        <v>147.3341625</v>
      </c>
    </row>
    <row r="47">
      <c r="D47" s="7">
        <f t="shared" si="16"/>
        <v>81.84760464</v>
      </c>
      <c r="E47" s="7">
        <f t="shared" si="17"/>
        <v>157.5597699</v>
      </c>
    </row>
    <row r="50">
      <c r="A50" s="6" t="s">
        <v>26</v>
      </c>
    </row>
    <row r="51">
      <c r="A51" s="7">
        <f>1-L23/H23</f>
        <v>0.8433647224</v>
      </c>
      <c r="B51" s="12" t="s">
        <v>27</v>
      </c>
      <c r="C51" s="13"/>
    </row>
    <row r="55">
      <c r="A55" s="6" t="s">
        <v>28</v>
      </c>
    </row>
    <row r="56">
      <c r="A56" s="6" t="s">
        <v>22</v>
      </c>
      <c r="B56" s="6">
        <v>0.9</v>
      </c>
      <c r="D56" s="11">
        <f t="shared" ref="D56:D58" si="18">_xlfn.F.INV.RT(1-B56,2,COUNT($A$1:$A$21)-2)</f>
        <v>2.623946985</v>
      </c>
    </row>
    <row r="57">
      <c r="A57" s="6" t="s">
        <v>22</v>
      </c>
      <c r="B57" s="6">
        <v>0.95</v>
      </c>
      <c r="D57" s="11">
        <f t="shared" si="18"/>
        <v>3.554557146</v>
      </c>
    </row>
    <row r="58">
      <c r="A58" s="6" t="s">
        <v>22</v>
      </c>
      <c r="B58" s="6">
        <v>0.99</v>
      </c>
      <c r="D58" s="11">
        <f t="shared" si="18"/>
        <v>6.012904835</v>
      </c>
    </row>
    <row r="60">
      <c r="A60" s="6" t="s">
        <v>23</v>
      </c>
    </row>
    <row r="61">
      <c r="A61" s="7">
        <f>A51 / (1 - A51) * 18</f>
        <v>96.91664121</v>
      </c>
      <c r="B61" s="9" t="s">
        <v>29</v>
      </c>
    </row>
    <row r="63">
      <c r="A63" s="1" t="s">
        <v>1</v>
      </c>
      <c r="B63" s="14" t="s">
        <v>30</v>
      </c>
      <c r="C63" s="15" t="s">
        <v>31</v>
      </c>
      <c r="D63" s="15" t="s">
        <v>32</v>
      </c>
      <c r="E63" s="15" t="s">
        <v>33</v>
      </c>
      <c r="F63" s="15" t="s">
        <v>34</v>
      </c>
      <c r="G63" s="15" t="s">
        <v>35</v>
      </c>
      <c r="H63" s="15" t="s">
        <v>36</v>
      </c>
    </row>
    <row r="64">
      <c r="A64" s="3">
        <v>12.0</v>
      </c>
      <c r="B64" s="4">
        <f t="shared" ref="B64:B72" si="19">$B$27+$B$26*A64</f>
        <v>216.6472679</v>
      </c>
      <c r="C64" s="4">
        <f t="shared" ref="C64:C72" si="20">$B64-$D$35*SQRT($B$29)*SQRT(1/COUNT($A$1:$A$21)+(($A64-$B$22)^2)/$F$23)</f>
        <v>210.2122418</v>
      </c>
      <c r="D64" s="4">
        <f t="shared" ref="D64:D72" si="21">$B64+$D$35*SQRT($B$29)*SQRT(1/COUNT($A$1:$A$21)+(($A64-$B$22)^2)/$F$23)</f>
        <v>223.082294</v>
      </c>
      <c r="E64" s="4">
        <f t="shared" ref="E64:E72" si="22">$B64-$D$36*SQRT($B$29)*SQRT(1/COUNT($A$1:$A$21) + (($A64-$B$22)^2)/$F$23)</f>
        <v>208.8508479</v>
      </c>
      <c r="F64" s="4">
        <f t="shared" ref="F64:F72" si="23">$B64+$D$36*SQRT($B$29)*SQRT(1/COUNT($A$1:$A$21) + (($A64-$B$22)^2)/$F$23)</f>
        <v>224.4436879</v>
      </c>
      <c r="G64" s="4">
        <f t="shared" ref="G64:G72" si="24">$B64-$D$37*SQRT($B$29)*SQRT(1/20 + (($A64-$B$22)^2)/$F$23)</f>
        <v>205.9655146</v>
      </c>
      <c r="H64" s="4">
        <f t="shared" ref="H64:H72" si="25">$B64+$D$37*SQRT($B$29)*SQRT(1/20 + (($A64-$B$22)^2)/$F$23)</f>
        <v>227.3290211</v>
      </c>
    </row>
    <row r="65">
      <c r="A65" s="3">
        <v>13.0</v>
      </c>
      <c r="B65" s="4">
        <f t="shared" si="19"/>
        <v>224.7258996</v>
      </c>
      <c r="C65" s="4">
        <f t="shared" si="20"/>
        <v>219.4492895</v>
      </c>
      <c r="D65" s="4">
        <f t="shared" si="21"/>
        <v>230.0025097</v>
      </c>
      <c r="E65" s="4">
        <f t="shared" si="22"/>
        <v>218.33297</v>
      </c>
      <c r="F65" s="4">
        <f t="shared" si="23"/>
        <v>231.1188292</v>
      </c>
      <c r="G65" s="4">
        <f t="shared" si="24"/>
        <v>215.9670467</v>
      </c>
      <c r="H65" s="4">
        <f t="shared" si="25"/>
        <v>233.4847525</v>
      </c>
    </row>
    <row r="66">
      <c r="A66" s="3">
        <v>14.0</v>
      </c>
      <c r="B66" s="4">
        <f t="shared" si="19"/>
        <v>232.8045313</v>
      </c>
      <c r="C66" s="4">
        <f t="shared" si="20"/>
        <v>228.5237017</v>
      </c>
      <c r="D66" s="4">
        <f t="shared" si="21"/>
        <v>237.085361</v>
      </c>
      <c r="E66" s="4">
        <f t="shared" si="22"/>
        <v>227.6180495</v>
      </c>
      <c r="F66" s="4">
        <f t="shared" si="23"/>
        <v>237.9910131</v>
      </c>
      <c r="G66" s="4">
        <f t="shared" si="24"/>
        <v>225.6986136</v>
      </c>
      <c r="H66" s="4">
        <f t="shared" si="25"/>
        <v>239.9104491</v>
      </c>
    </row>
    <row r="67">
      <c r="A67" s="3">
        <v>15.0</v>
      </c>
      <c r="B67" s="4">
        <f t="shared" si="19"/>
        <v>240.883163</v>
      </c>
      <c r="C67" s="4">
        <f t="shared" si="20"/>
        <v>237.2973262</v>
      </c>
      <c r="D67" s="4">
        <f t="shared" si="21"/>
        <v>244.4689998</v>
      </c>
      <c r="E67" s="4">
        <f t="shared" si="22"/>
        <v>236.5387067</v>
      </c>
      <c r="F67" s="4">
        <f t="shared" si="23"/>
        <v>245.2276193</v>
      </c>
      <c r="G67" s="4">
        <f t="shared" si="24"/>
        <v>234.9308913</v>
      </c>
      <c r="H67" s="4">
        <f t="shared" si="25"/>
        <v>246.8354348</v>
      </c>
    </row>
    <row r="68">
      <c r="A68" s="3">
        <v>16.0</v>
      </c>
      <c r="B68" s="4">
        <f t="shared" si="19"/>
        <v>248.9617948</v>
      </c>
      <c r="C68" s="4">
        <f t="shared" si="20"/>
        <v>245.5793721</v>
      </c>
      <c r="D68" s="4">
        <f t="shared" si="21"/>
        <v>252.3442175</v>
      </c>
      <c r="E68" s="4">
        <f t="shared" si="22"/>
        <v>244.8637868</v>
      </c>
      <c r="F68" s="4">
        <f t="shared" si="23"/>
        <v>253.0598027</v>
      </c>
      <c r="G68" s="4">
        <f t="shared" si="24"/>
        <v>243.3471781</v>
      </c>
      <c r="H68" s="4">
        <f t="shared" si="25"/>
        <v>254.5764114</v>
      </c>
    </row>
    <row r="69">
      <c r="A69" s="3">
        <v>17.0</v>
      </c>
      <c r="B69" s="4">
        <f t="shared" si="19"/>
        <v>257.0404265</v>
      </c>
      <c r="C69" s="4">
        <f t="shared" si="20"/>
        <v>253.2890033</v>
      </c>
      <c r="D69" s="4">
        <f t="shared" si="21"/>
        <v>260.7918497</v>
      </c>
      <c r="E69" s="4">
        <f t="shared" si="22"/>
        <v>252.4953523</v>
      </c>
      <c r="F69" s="4">
        <f t="shared" si="23"/>
        <v>261.5855006</v>
      </c>
      <c r="G69" s="4">
        <f t="shared" si="24"/>
        <v>250.8132914</v>
      </c>
      <c r="H69" s="4">
        <f t="shared" si="25"/>
        <v>263.2675616</v>
      </c>
    </row>
    <row r="70">
      <c r="A70" s="3">
        <v>18.0</v>
      </c>
      <c r="B70" s="4">
        <f t="shared" si="19"/>
        <v>265.1190582</v>
      </c>
      <c r="C70" s="4">
        <f t="shared" si="20"/>
        <v>260.5632483</v>
      </c>
      <c r="D70" s="4">
        <f t="shared" si="21"/>
        <v>269.674868</v>
      </c>
      <c r="E70" s="4">
        <f t="shared" si="22"/>
        <v>259.5994214</v>
      </c>
      <c r="F70" s="4">
        <f t="shared" si="23"/>
        <v>270.638695</v>
      </c>
      <c r="G70" s="4">
        <f t="shared" si="24"/>
        <v>257.55669</v>
      </c>
      <c r="H70" s="4">
        <f t="shared" si="25"/>
        <v>272.6814264</v>
      </c>
    </row>
    <row r="71">
      <c r="A71" s="3">
        <v>19.0</v>
      </c>
      <c r="B71" s="4">
        <f t="shared" si="19"/>
        <v>273.1976899</v>
      </c>
      <c r="C71" s="4">
        <f t="shared" si="20"/>
        <v>267.5863206</v>
      </c>
      <c r="D71" s="4">
        <f t="shared" si="21"/>
        <v>278.8090592</v>
      </c>
      <c r="E71" s="4">
        <f t="shared" si="22"/>
        <v>266.3991795</v>
      </c>
      <c r="F71" s="4">
        <f t="shared" si="23"/>
        <v>279.9962003</v>
      </c>
      <c r="G71" s="4">
        <f t="shared" si="24"/>
        <v>263.883157</v>
      </c>
      <c r="H71" s="4">
        <f t="shared" si="25"/>
        <v>282.5122228</v>
      </c>
    </row>
    <row r="72">
      <c r="A72" s="3">
        <v>20.0</v>
      </c>
      <c r="B72" s="4">
        <f t="shared" si="19"/>
        <v>281.2763216</v>
      </c>
      <c r="C72" s="4">
        <f t="shared" si="20"/>
        <v>274.474163</v>
      </c>
      <c r="D72" s="4">
        <f t="shared" si="21"/>
        <v>288.0784803</v>
      </c>
      <c r="E72" s="4">
        <f t="shared" si="22"/>
        <v>273.0350985</v>
      </c>
      <c r="F72" s="4">
        <f t="shared" si="23"/>
        <v>289.5175448</v>
      </c>
      <c r="G72" s="4">
        <f t="shared" si="24"/>
        <v>269.9851506</v>
      </c>
      <c r="H72" s="4">
        <f t="shared" si="25"/>
        <v>292.5674927</v>
      </c>
    </row>
    <row r="234">
      <c r="Q234" s="16"/>
    </row>
    <row r="235">
      <c r="Q235" s="16"/>
    </row>
    <row r="236">
      <c r="Q236" s="16"/>
    </row>
    <row r="237">
      <c r="Q237" s="16"/>
    </row>
    <row r="238">
      <c r="Q238" s="16"/>
    </row>
    <row r="239">
      <c r="Q239" s="16"/>
    </row>
    <row r="240">
      <c r="Q240" s="16"/>
    </row>
    <row r="241">
      <c r="Q241" s="16"/>
    </row>
    <row r="242">
      <c r="Q242" s="16"/>
    </row>
    <row r="243">
      <c r="Q243" s="16"/>
    </row>
    <row r="244">
      <c r="Q244" s="16"/>
    </row>
  </sheetData>
  <drawing r:id="rId1"/>
</worksheet>
</file>