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 вариант 8" sheetId="1" r:id="rId4"/>
    <sheet state="visible" name="2" sheetId="2" r:id="rId5"/>
    <sheet state="visible" name="3" sheetId="3" r:id="rId6"/>
  </sheets>
  <definedNames/>
  <calcPr/>
</workbook>
</file>

<file path=xl/sharedStrings.xml><?xml version="1.0" encoding="utf-8"?>
<sst xmlns="http://schemas.openxmlformats.org/spreadsheetml/2006/main" count="58" uniqueCount="31">
  <si>
    <t>t</t>
  </si>
  <si>
    <t>y(t)</t>
  </si>
  <si>
    <t>y(t-1)</t>
  </si>
  <si>
    <t>y(t-2)</t>
  </si>
  <si>
    <t>Column 1</t>
  </si>
  <si>
    <t>Column 2</t>
  </si>
  <si>
    <t>Скользящий</t>
  </si>
  <si>
    <t>Экспоненц.</t>
  </si>
  <si>
    <t>Потребление электроэнергии, млрд. кВт - ч</t>
  </si>
  <si>
    <t>Итого за четыре квартала</t>
  </si>
  <si>
    <t>Скользящее среднее за 4 квартала</t>
  </si>
  <si>
    <t>Центрированная скользящая средняя</t>
  </si>
  <si>
    <t>Оценка сезонной компоненты</t>
  </si>
  <si>
    <t>Сезонная компонента (S)</t>
  </si>
  <si>
    <t>Преобразованный ряд (y-S)</t>
  </si>
  <si>
    <t>Квартал</t>
  </si>
  <si>
    <t>Год</t>
  </si>
  <si>
    <t>Средняя оценка сезонной компоненты для i-го квартала (Ŝi)</t>
  </si>
  <si>
    <t>Скоректированная сезонная компонента (Si)</t>
  </si>
  <si>
    <t>Корректирующий коэффициент</t>
  </si>
  <si>
    <t>a=</t>
  </si>
  <si>
    <t>b=</t>
  </si>
  <si>
    <t>y17</t>
  </si>
  <si>
    <t>y18</t>
  </si>
  <si>
    <t>y19</t>
  </si>
  <si>
    <t>y20</t>
  </si>
  <si>
    <t>Экспорт, млрд дол. США</t>
  </si>
  <si>
    <t>y25</t>
  </si>
  <si>
    <t>y26</t>
  </si>
  <si>
    <t>y27</t>
  </si>
  <si>
    <t>y28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</si>
</sst>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sz val="11.0"/>
      <color rgb="FF000000"/>
      <name val="Calibri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0" fontId="1" numFmtId="0" xfId="0" applyBorder="1" applyFont="1"/>
    <xf borderId="2" fillId="0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Font="1"/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2" fillId="0" fontId="4" numFmtId="0" xfId="0" applyBorder="1" applyFont="1"/>
    <xf borderId="6" fillId="0" fontId="4" numFmtId="0" xfId="0" applyBorder="1" applyFont="1"/>
    <xf borderId="4" fillId="0" fontId="3" numFmtId="0" xfId="0" applyAlignment="1" applyBorder="1" applyFont="1">
      <alignment horizontal="center" readingOrder="0" shrinkToFit="0" vertical="bottom" wrapText="1"/>
    </xf>
    <xf borderId="7" fillId="0" fontId="4" numFmtId="0" xfId="0" applyBorder="1" applyFont="1"/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y(t) относительно параметра "t"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90196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'1  вариант 8'!$A$2:$A$11</c:f>
            </c:numRef>
          </c:xVal>
          <c:yVal>
            <c:numRef>
              <c:f>'1  вариант 8'!$B$2:$B$11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000657"/>
        <c:axId val="65264052"/>
      </c:scatterChart>
      <c:valAx>
        <c:axId val="19170006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64052"/>
      </c:valAx>
      <c:valAx>
        <c:axId val="65264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0006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y(t) относительно параметра "t"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4285F4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'1  вариант 8'!$A$2:$A$11</c:f>
            </c:numRef>
          </c:xVal>
          <c:yVal>
            <c:numRef>
              <c:f>'1  вариант 8'!$B$2:$B$11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801003"/>
        <c:axId val="1296719042"/>
      </c:scatterChart>
      <c:valAx>
        <c:axId val="18048010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6719042"/>
      </c:valAx>
      <c:valAx>
        <c:axId val="1296719042"/>
        <c:scaling>
          <c:orientation val="minMax"/>
          <c:max val="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48010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y(t) и Скользящий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'1  вариант 8'!$B$42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  вариант 8'!$A$43:$A$53</c:f>
            </c:numRef>
          </c:xVal>
          <c:yVal>
            <c:numRef>
              <c:f>'1  вариант 8'!$B$43:$B$53</c:f>
              <c:numCache/>
            </c:numRef>
          </c:yVal>
        </c:ser>
        <c:ser>
          <c:idx val="1"/>
          <c:order val="1"/>
          <c:tx>
            <c:strRef>
              <c:f>'1  вариант 8'!$C$42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'1  вариант 8'!$A$43:$A$53</c:f>
            </c:numRef>
          </c:xVal>
          <c:yVal>
            <c:numRef>
              <c:f>'1  вариант 8'!$C$43:$C$53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618132"/>
        <c:axId val="1436091091"/>
      </c:scatterChart>
      <c:valAx>
        <c:axId val="19956181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6091091"/>
      </c:valAx>
      <c:valAx>
        <c:axId val="14360910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6181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y(t) и Экспоненц.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  вариант 8'!$I$43:$I$53</c:f>
            </c:numRef>
          </c:xVal>
          <c:yVal>
            <c:numRef>
              <c:f>'1  вариант 8'!$J$43:$J$53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'1  вариант 8'!$I$43:$I$53</c:f>
            </c:numRef>
          </c:xVal>
          <c:yVal>
            <c:numRef>
              <c:f>'1  вариант 8'!$K$43:$K$53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045944"/>
        <c:axId val="686197755"/>
      </c:scatterChart>
      <c:valAx>
        <c:axId val="10300459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6197755"/>
      </c:valAx>
      <c:valAx>
        <c:axId val="686197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00459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Потребление электроэнергии, млрд. кВт - ч относительно параметра "t"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'2'!$B$1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90196"/>
                  </a:srgbClr>
                </a:solidFill>
              </a:ln>
            </c:spPr>
            <c:trendlineType val="linear"/>
            <c:dispRSqr val="1"/>
            <c:dispEq val="1"/>
          </c:trendline>
          <c:cat>
            <c:strRef>
              <c:f>'2'!$A$2:$A$17</c:f>
            </c:strRef>
          </c:cat>
          <c:val>
            <c:numRef>
              <c:f>'2'!$B$2:$B$17</c:f>
              <c:numCache/>
            </c:numRef>
          </c:val>
          <c:smooth val="0"/>
        </c:ser>
        <c:axId val="333343714"/>
        <c:axId val="891425101"/>
      </c:lineChart>
      <c:catAx>
        <c:axId val="333343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1425101"/>
      </c:catAx>
      <c:valAx>
        <c:axId val="8914251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Потребление электроэнергии, млрд. кВт - 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3437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Преобразованный ряд (y-S) относительно параметра "t"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'2'!$H$1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90196"/>
                  </a:srgbClr>
                </a:solidFill>
              </a:ln>
            </c:spPr>
            <c:trendlineType val="linear"/>
            <c:dispRSqr val="1"/>
            <c:dispEq val="1"/>
          </c:trendline>
          <c:cat>
            <c:strRef>
              <c:f>'2'!$A$2:$A$17</c:f>
            </c:strRef>
          </c:cat>
          <c:val>
            <c:numRef>
              <c:f>'2'!$H$2:$H$17</c:f>
              <c:numCache/>
            </c:numRef>
          </c:val>
          <c:smooth val="0"/>
        </c:ser>
        <c:axId val="1010802860"/>
        <c:axId val="823475156"/>
      </c:lineChart>
      <c:catAx>
        <c:axId val="1010802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3475156"/>
      </c:catAx>
      <c:valAx>
        <c:axId val="8234751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Преобразованный ряд (y-S)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08028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 и Экспорт, млрд дол. США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'3'!$B$1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4A86E8">
                    <a:alpha val="90196"/>
                  </a:srgbClr>
                </a:solidFill>
              </a:ln>
            </c:spPr>
            <c:trendlineType val="linear"/>
            <c:dispRSqr val="1"/>
            <c:dispEq val="1"/>
          </c:trendline>
          <c:cat>
            <c:strRef>
              <c:f>'3'!$A$2:$A$25</c:f>
            </c:strRef>
          </c:cat>
          <c:val>
            <c:numRef>
              <c:f>'3'!$B$2:$B$25</c:f>
              <c:numCache/>
            </c:numRef>
          </c:val>
          <c:smooth val="0"/>
        </c:ser>
        <c:axId val="733473768"/>
        <c:axId val="1767417777"/>
      </c:lineChart>
      <c:catAx>
        <c:axId val="733473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417777"/>
      </c:catAx>
      <c:valAx>
        <c:axId val="17674177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34737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Преобразованный ряд (y-S) относительно параметра "t"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'3'!$H$1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90196"/>
                  </a:srgbClr>
                </a:solidFill>
              </a:ln>
            </c:spPr>
            <c:trendlineType val="linear"/>
            <c:dispRSqr val="1"/>
            <c:dispEq val="1"/>
          </c:trendline>
          <c:cat>
            <c:strRef>
              <c:f>'3'!$A$2:$A$25</c:f>
            </c:strRef>
          </c:cat>
          <c:val>
            <c:numRef>
              <c:f>'3'!$H$2:$H$25</c:f>
              <c:numCache/>
            </c:numRef>
          </c:val>
          <c:smooth val="0"/>
        </c:ser>
        <c:axId val="32171554"/>
        <c:axId val="22386913"/>
      </c:lineChart>
      <c:catAx>
        <c:axId val="321715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86913"/>
      </c:catAx>
      <c:valAx>
        <c:axId val="22386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Преобразованный ряд (y-S)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1715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18</xdr:row>
      <xdr:rowOff>114300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323850</xdr:colOff>
      <xdr:row>18</xdr:row>
      <xdr:rowOff>114300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95250</xdr:colOff>
      <xdr:row>53</xdr:row>
      <xdr:rowOff>114300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590550</xdr:colOff>
      <xdr:row>53</xdr:row>
      <xdr:rowOff>114300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5715000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14</xdr:row>
      <xdr:rowOff>123825</xdr:rowOff>
    </xdr:from>
    <xdr:ext cx="5715000" cy="353377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228600</xdr:colOff>
      <xdr:row>0</xdr:row>
      <xdr:rowOff>95250</xdr:rowOff>
    </xdr:from>
    <xdr:ext cx="5715000" cy="35337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276225</xdr:colOff>
      <xdr:row>0</xdr:row>
      <xdr:rowOff>95250</xdr:rowOff>
    </xdr:from>
    <xdr:ext cx="5715000" cy="35337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F1" s="1" t="s">
        <v>0</v>
      </c>
      <c r="G1" s="1" t="s">
        <v>1</v>
      </c>
      <c r="H1" s="1" t="s">
        <v>3</v>
      </c>
    </row>
    <row r="2">
      <c r="A2" s="1">
        <v>1.0</v>
      </c>
      <c r="B2" s="1">
        <v>64.0</v>
      </c>
      <c r="C2" s="2"/>
      <c r="F2" s="1">
        <v>1.0</v>
      </c>
      <c r="G2" s="1">
        <v>64.0</v>
      </c>
      <c r="H2" s="2"/>
    </row>
    <row r="3">
      <c r="A3" s="1">
        <v>2.0</v>
      </c>
      <c r="B3" s="1">
        <v>61.0</v>
      </c>
      <c r="C3" s="2">
        <f t="shared" ref="C3:C12" si="1">B2</f>
        <v>64</v>
      </c>
      <c r="F3" s="1">
        <v>2.0</v>
      </c>
      <c r="G3" s="1">
        <v>61.0</v>
      </c>
      <c r="H3" s="2"/>
    </row>
    <row r="4">
      <c r="A4" s="1">
        <v>3.0</v>
      </c>
      <c r="B4" s="1">
        <v>58.0</v>
      </c>
      <c r="C4" s="2">
        <f t="shared" si="1"/>
        <v>61</v>
      </c>
      <c r="F4" s="1">
        <v>3.0</v>
      </c>
      <c r="G4" s="1">
        <v>58.0</v>
      </c>
      <c r="H4" s="2">
        <f t="shared" ref="H4:H13" si="2">G2</f>
        <v>64</v>
      </c>
    </row>
    <row r="5">
      <c r="A5" s="1">
        <v>4.0</v>
      </c>
      <c r="B5" s="1">
        <v>52.0</v>
      </c>
      <c r="C5" s="2">
        <f t="shared" si="1"/>
        <v>58</v>
      </c>
      <c r="F5" s="1">
        <v>4.0</v>
      </c>
      <c r="G5" s="1">
        <v>52.0</v>
      </c>
      <c r="H5" s="2">
        <f t="shared" si="2"/>
        <v>61</v>
      </c>
    </row>
    <row r="6">
      <c r="A6" s="1">
        <v>5.0</v>
      </c>
      <c r="B6" s="1">
        <v>49.0</v>
      </c>
      <c r="C6" s="2">
        <f t="shared" si="1"/>
        <v>52</v>
      </c>
      <c r="F6" s="1">
        <v>5.0</v>
      </c>
      <c r="G6" s="1">
        <v>49.0</v>
      </c>
      <c r="H6" s="2">
        <f t="shared" si="2"/>
        <v>58</v>
      </c>
    </row>
    <row r="7">
      <c r="A7" s="1">
        <v>6.0</v>
      </c>
      <c r="B7" s="1">
        <v>45.0</v>
      </c>
      <c r="C7" s="2">
        <f t="shared" si="1"/>
        <v>49</v>
      </c>
      <c r="F7" s="1">
        <v>6.0</v>
      </c>
      <c r="G7" s="1">
        <v>45.0</v>
      </c>
      <c r="H7" s="2">
        <f t="shared" si="2"/>
        <v>52</v>
      </c>
    </row>
    <row r="8">
      <c r="A8" s="1">
        <v>7.0</v>
      </c>
      <c r="B8" s="1">
        <v>40.0</v>
      </c>
      <c r="C8" s="2">
        <f t="shared" si="1"/>
        <v>45</v>
      </c>
      <c r="F8" s="1">
        <v>7.0</v>
      </c>
      <c r="G8" s="1">
        <v>40.0</v>
      </c>
      <c r="H8" s="2">
        <f t="shared" si="2"/>
        <v>49</v>
      </c>
    </row>
    <row r="9">
      <c r="A9" s="1">
        <v>8.0</v>
      </c>
      <c r="B9" s="1">
        <v>37.0</v>
      </c>
      <c r="C9" s="2">
        <f t="shared" si="1"/>
        <v>40</v>
      </c>
      <c r="F9" s="1">
        <v>8.0</v>
      </c>
      <c r="G9" s="1">
        <v>37.0</v>
      </c>
      <c r="H9" s="2">
        <f t="shared" si="2"/>
        <v>45</v>
      </c>
    </row>
    <row r="10">
      <c r="A10" s="1">
        <v>9.0</v>
      </c>
      <c r="B10" s="1">
        <v>34.0</v>
      </c>
      <c r="C10" s="2">
        <f t="shared" si="1"/>
        <v>37</v>
      </c>
      <c r="F10" s="1">
        <v>9.0</v>
      </c>
      <c r="G10" s="1">
        <v>34.0</v>
      </c>
      <c r="H10" s="2">
        <f t="shared" si="2"/>
        <v>40</v>
      </c>
    </row>
    <row r="11">
      <c r="A11" s="1">
        <v>10.0</v>
      </c>
      <c r="B11" s="1">
        <v>30.0</v>
      </c>
      <c r="C11" s="2">
        <f t="shared" si="1"/>
        <v>34</v>
      </c>
      <c r="F11" s="1">
        <v>10.0</v>
      </c>
      <c r="G11" s="1">
        <v>30.0</v>
      </c>
      <c r="H11" s="2">
        <f t="shared" si="2"/>
        <v>37</v>
      </c>
    </row>
    <row r="12">
      <c r="A12" s="2"/>
      <c r="B12" s="2"/>
      <c r="C12" s="2">
        <f t="shared" si="1"/>
        <v>30</v>
      </c>
      <c r="F12" s="2"/>
      <c r="G12" s="2"/>
      <c r="H12" s="2">
        <f t="shared" si="2"/>
        <v>34</v>
      </c>
    </row>
    <row r="13">
      <c r="F13" s="2"/>
      <c r="G13" s="2"/>
      <c r="H13" s="2">
        <f t="shared" si="2"/>
        <v>30</v>
      </c>
    </row>
    <row r="15">
      <c r="A15" s="3"/>
      <c r="B15" s="4" t="s">
        <v>4</v>
      </c>
      <c r="C15" s="4" t="s">
        <v>5</v>
      </c>
      <c r="F15" s="3"/>
      <c r="G15" s="4" t="s">
        <v>4</v>
      </c>
      <c r="H15" s="4" t="s">
        <v>5</v>
      </c>
    </row>
    <row r="16">
      <c r="A16" s="5" t="s">
        <v>4</v>
      </c>
      <c r="B16" s="6">
        <v>1.0</v>
      </c>
      <c r="F16" s="5" t="s">
        <v>4</v>
      </c>
      <c r="G16" s="6">
        <v>1.0</v>
      </c>
    </row>
    <row r="17">
      <c r="A17" s="7" t="s">
        <v>5</v>
      </c>
      <c r="B17" s="8">
        <v>0.9948342143200383</v>
      </c>
      <c r="C17" s="8">
        <v>1.0</v>
      </c>
      <c r="F17" s="7" t="s">
        <v>5</v>
      </c>
      <c r="G17" s="8">
        <v>0.9913220033452484</v>
      </c>
      <c r="H17" s="8">
        <v>1.0</v>
      </c>
    </row>
    <row r="42">
      <c r="A42" s="1" t="s">
        <v>0</v>
      </c>
      <c r="B42" s="1" t="s">
        <v>1</v>
      </c>
      <c r="C42" s="1" t="s">
        <v>6</v>
      </c>
      <c r="I42" s="1" t="s">
        <v>0</v>
      </c>
      <c r="J42" s="1" t="s">
        <v>1</v>
      </c>
      <c r="K42" s="1" t="s">
        <v>7</v>
      </c>
    </row>
    <row r="43">
      <c r="A43" s="1">
        <v>1.0</v>
      </c>
      <c r="B43" s="1">
        <v>64.0</v>
      </c>
      <c r="C43" s="2"/>
      <c r="I43" s="1">
        <v>1.0</v>
      </c>
      <c r="J43" s="1">
        <v>64.0</v>
      </c>
      <c r="K43" s="2"/>
    </row>
    <row r="44">
      <c r="A44" s="1">
        <v>2.0</v>
      </c>
      <c r="B44" s="1">
        <v>61.0</v>
      </c>
      <c r="C44" s="2"/>
      <c r="I44" s="1">
        <v>2.0</v>
      </c>
      <c r="J44" s="1">
        <v>61.0</v>
      </c>
      <c r="K44" s="9">
        <f>B44</f>
        <v>61</v>
      </c>
    </row>
    <row r="45">
      <c r="A45" s="1">
        <v>3.0</v>
      </c>
      <c r="B45" s="1">
        <v>58.0</v>
      </c>
      <c r="C45" s="2"/>
      <c r="I45" s="1">
        <v>3.0</v>
      </c>
      <c r="J45" s="1">
        <v>58.0</v>
      </c>
      <c r="K45" s="9">
        <f t="shared" ref="K45:K51" si="3">0.75*B45+0.25*K44</f>
        <v>58.75</v>
      </c>
    </row>
    <row r="46">
      <c r="A46" s="1">
        <v>4.0</v>
      </c>
      <c r="B46" s="1">
        <v>52.0</v>
      </c>
      <c r="C46" s="9">
        <f t="shared" ref="C46:C53" si="4">Average(B43:B45)</f>
        <v>61</v>
      </c>
      <c r="I46" s="1">
        <v>4.0</v>
      </c>
      <c r="J46" s="1">
        <v>52.0</v>
      </c>
      <c r="K46" s="9">
        <f t="shared" si="3"/>
        <v>53.6875</v>
      </c>
    </row>
    <row r="47">
      <c r="A47" s="1">
        <v>5.0</v>
      </c>
      <c r="B47" s="1">
        <v>49.0</v>
      </c>
      <c r="C47" s="9">
        <f t="shared" si="4"/>
        <v>57</v>
      </c>
      <c r="I47" s="1">
        <v>5.0</v>
      </c>
      <c r="J47" s="1">
        <v>49.0</v>
      </c>
      <c r="K47" s="9">
        <f t="shared" si="3"/>
        <v>50.171875</v>
      </c>
    </row>
    <row r="48">
      <c r="A48" s="1">
        <v>6.0</v>
      </c>
      <c r="B48" s="1">
        <v>45.0</v>
      </c>
      <c r="C48" s="9">
        <f t="shared" si="4"/>
        <v>53</v>
      </c>
      <c r="I48" s="1">
        <v>6.0</v>
      </c>
      <c r="J48" s="1">
        <v>45.0</v>
      </c>
      <c r="K48" s="9">
        <f t="shared" si="3"/>
        <v>46.29296875</v>
      </c>
    </row>
    <row r="49">
      <c r="A49" s="1">
        <v>7.0</v>
      </c>
      <c r="B49" s="1">
        <v>40.0</v>
      </c>
      <c r="C49" s="9">
        <f t="shared" si="4"/>
        <v>48.66666667</v>
      </c>
      <c r="I49" s="1">
        <v>7.0</v>
      </c>
      <c r="J49" s="1">
        <v>40.0</v>
      </c>
      <c r="K49" s="9">
        <f t="shared" si="3"/>
        <v>41.57324219</v>
      </c>
    </row>
    <row r="50">
      <c r="A50" s="1">
        <v>8.0</v>
      </c>
      <c r="B50" s="1">
        <v>37.0</v>
      </c>
      <c r="C50" s="9">
        <f t="shared" si="4"/>
        <v>44.66666667</v>
      </c>
      <c r="I50" s="1">
        <v>8.0</v>
      </c>
      <c r="J50" s="1">
        <v>37.0</v>
      </c>
      <c r="K50" s="9">
        <f t="shared" si="3"/>
        <v>38.14331055</v>
      </c>
    </row>
    <row r="51">
      <c r="A51" s="1">
        <v>9.0</v>
      </c>
      <c r="B51" s="1">
        <v>34.0</v>
      </c>
      <c r="C51" s="9">
        <f t="shared" si="4"/>
        <v>40.66666667</v>
      </c>
      <c r="I51" s="1">
        <v>9.0</v>
      </c>
      <c r="J51" s="1">
        <v>34.0</v>
      </c>
      <c r="K51" s="9">
        <f t="shared" si="3"/>
        <v>35.03582764</v>
      </c>
    </row>
    <row r="52">
      <c r="A52" s="1">
        <v>10.0</v>
      </c>
      <c r="B52" s="1">
        <v>30.0</v>
      </c>
      <c r="C52" s="9">
        <f t="shared" si="4"/>
        <v>37</v>
      </c>
      <c r="I52" s="1">
        <v>10.0</v>
      </c>
      <c r="J52" s="1">
        <v>30.0</v>
      </c>
      <c r="K52" s="9">
        <f>B52</f>
        <v>30</v>
      </c>
    </row>
    <row r="53">
      <c r="A53" s="5">
        <v>11.0</v>
      </c>
      <c r="C53" s="9">
        <f t="shared" si="4"/>
        <v>33.66666667</v>
      </c>
      <c r="I53" s="5">
        <v>11.0</v>
      </c>
      <c r="K53" s="9">
        <f>0.75*B53+0.25*K52</f>
        <v>7.5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</cols>
  <sheetData>
    <row r="1">
      <c r="A1" s="10" t="s">
        <v>0</v>
      </c>
      <c r="B1" s="10" t="s">
        <v>8</v>
      </c>
      <c r="C1" s="10" t="s">
        <v>9</v>
      </c>
      <c r="D1" s="10" t="s">
        <v>10</v>
      </c>
      <c r="E1" s="10" t="s">
        <v>11</v>
      </c>
      <c r="F1" s="10" t="s">
        <v>12</v>
      </c>
      <c r="G1" s="11" t="s">
        <v>13</v>
      </c>
      <c r="H1" s="10" t="s">
        <v>14</v>
      </c>
    </row>
    <row r="2">
      <c r="A2" s="12">
        <v>1.0</v>
      </c>
      <c r="B2" s="12">
        <v>6.0</v>
      </c>
      <c r="C2" s="13"/>
      <c r="D2" s="13"/>
      <c r="E2" s="13"/>
      <c r="F2" s="13"/>
      <c r="G2" s="12">
        <f t="shared" ref="G2:G5" si="1">G21</f>
        <v>0.58125</v>
      </c>
      <c r="H2" s="12">
        <f t="shared" ref="H2:H17" si="2">B2-G2</f>
        <v>5.41875</v>
      </c>
    </row>
    <row r="3">
      <c r="A3" s="12">
        <v>2.0</v>
      </c>
      <c r="B3" s="12">
        <v>4.4</v>
      </c>
      <c r="C3" s="12">
        <f t="shared" ref="C3:C15" si="3">B2+B3+B4+B5</f>
        <v>24.4</v>
      </c>
      <c r="D3" s="12">
        <f t="shared" ref="D3:D15" si="4">C3/4</f>
        <v>6.1</v>
      </c>
      <c r="E3" s="13"/>
      <c r="F3" s="13"/>
      <c r="G3" s="12">
        <f t="shared" si="1"/>
        <v>-1.977083333</v>
      </c>
      <c r="H3" s="12">
        <f t="shared" si="2"/>
        <v>6.377083333</v>
      </c>
    </row>
    <row r="4">
      <c r="A4" s="12">
        <v>3.0</v>
      </c>
      <c r="B4" s="12">
        <v>5.0</v>
      </c>
      <c r="C4" s="12">
        <f t="shared" si="3"/>
        <v>25.6</v>
      </c>
      <c r="D4" s="12">
        <f t="shared" si="4"/>
        <v>6.4</v>
      </c>
      <c r="E4" s="12">
        <f t="shared" ref="E4:E15" si="5">AVERAGE(D3:D4)</f>
        <v>6.25</v>
      </c>
      <c r="F4" s="12">
        <f t="shared" ref="F4:F15" si="6">B4-E4</f>
        <v>-1.25</v>
      </c>
      <c r="G4" s="12">
        <f t="shared" si="1"/>
        <v>-1.29375</v>
      </c>
      <c r="H4" s="12">
        <f t="shared" si="2"/>
        <v>6.29375</v>
      </c>
    </row>
    <row r="5">
      <c r="A5" s="12">
        <v>4.0</v>
      </c>
      <c r="B5" s="12">
        <v>9.0</v>
      </c>
      <c r="C5" s="12">
        <f t="shared" si="3"/>
        <v>26</v>
      </c>
      <c r="D5" s="12">
        <f t="shared" si="4"/>
        <v>6.5</v>
      </c>
      <c r="E5" s="12">
        <f t="shared" si="5"/>
        <v>6.45</v>
      </c>
      <c r="F5" s="12">
        <f t="shared" si="6"/>
        <v>2.55</v>
      </c>
      <c r="G5" s="12">
        <f t="shared" si="1"/>
        <v>2.689583333</v>
      </c>
      <c r="H5" s="12">
        <f t="shared" si="2"/>
        <v>6.310416667</v>
      </c>
    </row>
    <row r="6">
      <c r="A6" s="12">
        <v>5.0</v>
      </c>
      <c r="B6" s="12">
        <v>7.2</v>
      </c>
      <c r="C6" s="12">
        <f t="shared" si="3"/>
        <v>27</v>
      </c>
      <c r="D6" s="12">
        <f t="shared" si="4"/>
        <v>6.75</v>
      </c>
      <c r="E6" s="12">
        <f t="shared" si="5"/>
        <v>6.625</v>
      </c>
      <c r="F6" s="12">
        <f t="shared" si="6"/>
        <v>0.575</v>
      </c>
      <c r="G6" s="12">
        <f t="shared" ref="G6:G9" si="7">G21</f>
        <v>0.58125</v>
      </c>
      <c r="H6" s="12">
        <f t="shared" si="2"/>
        <v>6.61875</v>
      </c>
    </row>
    <row r="7">
      <c r="A7" s="12">
        <v>6.0</v>
      </c>
      <c r="B7" s="12">
        <v>4.8</v>
      </c>
      <c r="C7" s="12">
        <f t="shared" si="3"/>
        <v>28</v>
      </c>
      <c r="D7" s="12">
        <f t="shared" si="4"/>
        <v>7</v>
      </c>
      <c r="E7" s="12">
        <f t="shared" si="5"/>
        <v>6.875</v>
      </c>
      <c r="F7" s="12">
        <f t="shared" si="6"/>
        <v>-2.075</v>
      </c>
      <c r="G7" s="12">
        <f t="shared" si="7"/>
        <v>-1.977083333</v>
      </c>
      <c r="H7" s="12">
        <f t="shared" si="2"/>
        <v>6.777083333</v>
      </c>
    </row>
    <row r="8">
      <c r="A8" s="12">
        <v>7.0</v>
      </c>
      <c r="B8" s="12">
        <v>6.0</v>
      </c>
      <c r="C8" s="12">
        <f t="shared" si="3"/>
        <v>28.8</v>
      </c>
      <c r="D8" s="12">
        <f t="shared" si="4"/>
        <v>7.2</v>
      </c>
      <c r="E8" s="12">
        <f t="shared" si="5"/>
        <v>7.1</v>
      </c>
      <c r="F8" s="12">
        <f t="shared" si="6"/>
        <v>-1.1</v>
      </c>
      <c r="G8" s="12">
        <f t="shared" si="7"/>
        <v>-1.29375</v>
      </c>
      <c r="H8" s="12">
        <f t="shared" si="2"/>
        <v>7.29375</v>
      </c>
    </row>
    <row r="9">
      <c r="A9" s="12">
        <v>8.0</v>
      </c>
      <c r="B9" s="12">
        <v>10.0</v>
      </c>
      <c r="C9" s="12">
        <f t="shared" si="3"/>
        <v>29.6</v>
      </c>
      <c r="D9" s="12">
        <f t="shared" si="4"/>
        <v>7.4</v>
      </c>
      <c r="E9" s="12">
        <f t="shared" si="5"/>
        <v>7.3</v>
      </c>
      <c r="F9" s="12">
        <f t="shared" si="6"/>
        <v>2.7</v>
      </c>
      <c r="G9" s="12">
        <f t="shared" si="7"/>
        <v>2.689583333</v>
      </c>
      <c r="H9" s="12">
        <f t="shared" si="2"/>
        <v>7.310416667</v>
      </c>
    </row>
    <row r="10">
      <c r="A10" s="12">
        <v>9.0</v>
      </c>
      <c r="B10" s="12">
        <v>8.0</v>
      </c>
      <c r="C10" s="12">
        <f t="shared" si="3"/>
        <v>30</v>
      </c>
      <c r="D10" s="12">
        <f t="shared" si="4"/>
        <v>7.5</v>
      </c>
      <c r="E10" s="12">
        <f t="shared" si="5"/>
        <v>7.45</v>
      </c>
      <c r="F10" s="12">
        <f t="shared" si="6"/>
        <v>0.55</v>
      </c>
      <c r="G10" s="12">
        <f t="shared" ref="G10:G13" si="8">G21</f>
        <v>0.58125</v>
      </c>
      <c r="H10" s="12">
        <f t="shared" si="2"/>
        <v>7.41875</v>
      </c>
    </row>
    <row r="11">
      <c r="A11" s="12">
        <v>10.0</v>
      </c>
      <c r="B11" s="12">
        <v>5.6</v>
      </c>
      <c r="C11" s="12">
        <f t="shared" si="3"/>
        <v>31</v>
      </c>
      <c r="D11" s="12">
        <f t="shared" si="4"/>
        <v>7.75</v>
      </c>
      <c r="E11" s="12">
        <f t="shared" si="5"/>
        <v>7.625</v>
      </c>
      <c r="F11" s="12">
        <f t="shared" si="6"/>
        <v>-2.025</v>
      </c>
      <c r="G11" s="12">
        <f t="shared" si="8"/>
        <v>-1.977083333</v>
      </c>
      <c r="H11" s="12">
        <f t="shared" si="2"/>
        <v>7.577083333</v>
      </c>
    </row>
    <row r="12">
      <c r="A12" s="12">
        <v>11.0</v>
      </c>
      <c r="B12" s="12">
        <v>6.4</v>
      </c>
      <c r="C12" s="12">
        <f t="shared" si="3"/>
        <v>32</v>
      </c>
      <c r="D12" s="12">
        <f t="shared" si="4"/>
        <v>8</v>
      </c>
      <c r="E12" s="12">
        <f t="shared" si="5"/>
        <v>7.875</v>
      </c>
      <c r="F12" s="12">
        <f t="shared" si="6"/>
        <v>-1.475</v>
      </c>
      <c r="G12" s="12">
        <f t="shared" si="8"/>
        <v>-1.29375</v>
      </c>
      <c r="H12" s="12">
        <f t="shared" si="2"/>
        <v>7.69375</v>
      </c>
    </row>
    <row r="13">
      <c r="A13" s="12">
        <v>12.0</v>
      </c>
      <c r="B13" s="12">
        <v>11.0</v>
      </c>
      <c r="C13" s="12">
        <f t="shared" si="3"/>
        <v>33</v>
      </c>
      <c r="D13" s="12">
        <f t="shared" si="4"/>
        <v>8.25</v>
      </c>
      <c r="E13" s="12">
        <f t="shared" si="5"/>
        <v>8.125</v>
      </c>
      <c r="F13" s="12">
        <f t="shared" si="6"/>
        <v>2.875</v>
      </c>
      <c r="G13" s="12">
        <f t="shared" si="8"/>
        <v>2.689583333</v>
      </c>
      <c r="H13" s="12">
        <f t="shared" si="2"/>
        <v>8.310416667</v>
      </c>
    </row>
    <row r="14">
      <c r="A14" s="12">
        <v>13.0</v>
      </c>
      <c r="B14" s="12">
        <v>9.0</v>
      </c>
      <c r="C14" s="12">
        <f t="shared" si="3"/>
        <v>33.6</v>
      </c>
      <c r="D14" s="12">
        <f t="shared" si="4"/>
        <v>8.4</v>
      </c>
      <c r="E14" s="12">
        <f t="shared" si="5"/>
        <v>8.325</v>
      </c>
      <c r="F14" s="12">
        <f t="shared" si="6"/>
        <v>0.675</v>
      </c>
      <c r="G14" s="12">
        <f t="shared" ref="G14:G18" si="9">G21</f>
        <v>0.58125</v>
      </c>
      <c r="H14" s="12">
        <f t="shared" si="2"/>
        <v>8.41875</v>
      </c>
    </row>
    <row r="15">
      <c r="A15" s="12">
        <v>14.0</v>
      </c>
      <c r="B15" s="12">
        <v>6.6</v>
      </c>
      <c r="C15" s="12">
        <f t="shared" si="3"/>
        <v>33.4</v>
      </c>
      <c r="D15" s="12">
        <f t="shared" si="4"/>
        <v>8.35</v>
      </c>
      <c r="E15" s="12">
        <f t="shared" si="5"/>
        <v>8.375</v>
      </c>
      <c r="F15" s="12">
        <f t="shared" si="6"/>
        <v>-1.775</v>
      </c>
      <c r="G15" s="12">
        <f t="shared" si="9"/>
        <v>-1.977083333</v>
      </c>
      <c r="H15" s="12">
        <f t="shared" si="2"/>
        <v>8.577083333</v>
      </c>
    </row>
    <row r="16">
      <c r="A16" s="12">
        <v>15.0</v>
      </c>
      <c r="B16" s="12">
        <v>7.0</v>
      </c>
      <c r="C16" s="13"/>
      <c r="D16" s="13"/>
      <c r="E16" s="13"/>
      <c r="F16" s="13"/>
      <c r="G16" s="12">
        <f t="shared" si="9"/>
        <v>-1.29375</v>
      </c>
      <c r="H16" s="12">
        <f t="shared" si="2"/>
        <v>8.29375</v>
      </c>
    </row>
    <row r="17">
      <c r="A17" s="12">
        <v>16.0</v>
      </c>
      <c r="B17" s="12">
        <v>10.8</v>
      </c>
      <c r="C17" s="13"/>
      <c r="D17" s="13"/>
      <c r="E17" s="13"/>
      <c r="F17" s="13"/>
      <c r="G17" s="12">
        <f t="shared" si="9"/>
        <v>2.689583333</v>
      </c>
      <c r="H17" s="12">
        <f t="shared" si="2"/>
        <v>8.110416667</v>
      </c>
    </row>
    <row r="18">
      <c r="G18" s="12" t="str">
        <f t="shared" si="9"/>
        <v/>
      </c>
    </row>
    <row r="19">
      <c r="A19" s="14" t="s">
        <v>15</v>
      </c>
      <c r="B19" s="15" t="s">
        <v>16</v>
      </c>
      <c r="C19" s="16"/>
      <c r="D19" s="16"/>
      <c r="E19" s="17"/>
      <c r="F19" s="18" t="s">
        <v>17</v>
      </c>
      <c r="G19" s="18" t="s">
        <v>18</v>
      </c>
    </row>
    <row r="20" ht="69.75" customHeight="1">
      <c r="A20" s="19"/>
      <c r="B20" s="12">
        <v>2001.0</v>
      </c>
      <c r="C20" s="12">
        <v>2002.0</v>
      </c>
      <c r="D20" s="12">
        <v>2003.0</v>
      </c>
      <c r="E20" s="12">
        <v>2004.0</v>
      </c>
      <c r="F20" s="19"/>
      <c r="G20" s="19"/>
    </row>
    <row r="21">
      <c r="A21" s="12">
        <v>1.0</v>
      </c>
      <c r="B21" s="20"/>
      <c r="C21" s="20">
        <f t="shared" ref="C21:C24" si="10">F6</f>
        <v>0.575</v>
      </c>
      <c r="D21" s="20">
        <f t="shared" ref="D21:D24" si="11">F10</f>
        <v>0.55</v>
      </c>
      <c r="E21" s="20">
        <f t="shared" ref="E21:E22" si="12">F14</f>
        <v>0.675</v>
      </c>
      <c r="F21" s="12">
        <f t="shared" ref="F21:F24" si="13">AVERAGE(B21:E21)</f>
        <v>0.6</v>
      </c>
      <c r="G21" s="12">
        <f t="shared" ref="G21:G24" si="14">F21-$F$25</f>
        <v>0.58125</v>
      </c>
    </row>
    <row r="22">
      <c r="A22" s="12">
        <v>2.0</v>
      </c>
      <c r="B22" s="20"/>
      <c r="C22" s="20">
        <f t="shared" si="10"/>
        <v>-2.075</v>
      </c>
      <c r="D22" s="20">
        <f t="shared" si="11"/>
        <v>-2.025</v>
      </c>
      <c r="E22" s="20">
        <f t="shared" si="12"/>
        <v>-1.775</v>
      </c>
      <c r="F22" s="12">
        <f t="shared" si="13"/>
        <v>-1.958333333</v>
      </c>
      <c r="G22" s="12">
        <f t="shared" si="14"/>
        <v>-1.977083333</v>
      </c>
    </row>
    <row r="23">
      <c r="A23" s="12">
        <v>3.0</v>
      </c>
      <c r="B23" s="20">
        <f t="shared" ref="B23:B24" si="15">F4</f>
        <v>-1.25</v>
      </c>
      <c r="C23" s="20">
        <f t="shared" si="10"/>
        <v>-1.1</v>
      </c>
      <c r="D23" s="20">
        <f t="shared" si="11"/>
        <v>-1.475</v>
      </c>
      <c r="E23" s="20"/>
      <c r="F23" s="12">
        <f t="shared" si="13"/>
        <v>-1.275</v>
      </c>
      <c r="G23" s="12">
        <f t="shared" si="14"/>
        <v>-1.29375</v>
      </c>
    </row>
    <row r="24">
      <c r="A24" s="12">
        <v>4.0</v>
      </c>
      <c r="B24" s="20">
        <f t="shared" si="15"/>
        <v>2.55</v>
      </c>
      <c r="C24" s="20">
        <f t="shared" si="10"/>
        <v>2.7</v>
      </c>
      <c r="D24" s="20">
        <f t="shared" si="11"/>
        <v>2.875</v>
      </c>
      <c r="E24" s="20"/>
      <c r="F24" s="12">
        <f t="shared" si="13"/>
        <v>2.708333333</v>
      </c>
      <c r="G24" s="12">
        <f t="shared" si="14"/>
        <v>2.689583333</v>
      </c>
    </row>
    <row r="25">
      <c r="A25" s="15" t="s">
        <v>19</v>
      </c>
      <c r="B25" s="16"/>
      <c r="C25" s="16"/>
      <c r="D25" s="16"/>
      <c r="E25" s="17"/>
      <c r="F25" s="12">
        <f>AVERAGE(F21:F24)</f>
        <v>0.01875</v>
      </c>
      <c r="G25" s="13"/>
    </row>
    <row r="27">
      <c r="A27" s="5" t="s">
        <v>20</v>
      </c>
      <c r="B27" s="5">
        <v>0.186</v>
      </c>
    </row>
    <row r="28">
      <c r="A28" s="5" t="s">
        <v>21</v>
      </c>
      <c r="B28" s="5">
        <v>5.72</v>
      </c>
    </row>
    <row r="30">
      <c r="A30" s="5" t="s">
        <v>22</v>
      </c>
      <c r="B30" s="9">
        <f>$B$27*17+$B$28+G21</f>
        <v>9.46325</v>
      </c>
    </row>
    <row r="31">
      <c r="A31" s="5" t="s">
        <v>23</v>
      </c>
      <c r="B31" s="9">
        <f>$B$27*18+$B$28+G22</f>
        <v>7.090916667</v>
      </c>
    </row>
    <row r="32">
      <c r="A32" s="5" t="s">
        <v>24</v>
      </c>
      <c r="B32" s="9">
        <f>$B$27*19+$B$28+G23</f>
        <v>7.96025</v>
      </c>
    </row>
    <row r="33">
      <c r="A33" s="5" t="s">
        <v>25</v>
      </c>
      <c r="B33" s="9">
        <f>$B$27*20+$B$28+G24</f>
        <v>12.12958333</v>
      </c>
    </row>
  </sheetData>
  <mergeCells count="5">
    <mergeCell ref="A19:A20"/>
    <mergeCell ref="B19:E19"/>
    <mergeCell ref="F19:F20"/>
    <mergeCell ref="G19:G20"/>
    <mergeCell ref="A25:E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59.25" customHeight="1">
      <c r="A1" s="21" t="s">
        <v>0</v>
      </c>
      <c r="B1" s="10" t="s">
        <v>26</v>
      </c>
      <c r="C1" s="10" t="s">
        <v>9</v>
      </c>
      <c r="D1" s="10" t="s">
        <v>10</v>
      </c>
      <c r="E1" s="10" t="s">
        <v>11</v>
      </c>
      <c r="F1" s="10" t="s">
        <v>12</v>
      </c>
      <c r="G1" s="11" t="s">
        <v>13</v>
      </c>
      <c r="H1" s="10" t="s">
        <v>14</v>
      </c>
    </row>
    <row r="2">
      <c r="A2" s="12">
        <v>1.0</v>
      </c>
      <c r="B2" s="12">
        <v>4087.0</v>
      </c>
      <c r="C2" s="2"/>
      <c r="D2" s="2"/>
      <c r="E2" s="2"/>
      <c r="F2" s="2"/>
      <c r="G2" s="2">
        <f t="shared" ref="G2:G5" si="1">H30</f>
        <v>-797.1</v>
      </c>
      <c r="H2" s="2">
        <f t="shared" ref="H2:H25" si="2">B2-G2</f>
        <v>4884.1</v>
      </c>
    </row>
    <row r="3">
      <c r="A3" s="12">
        <v>2.0</v>
      </c>
      <c r="B3" s="12">
        <v>4737.0</v>
      </c>
      <c r="C3" s="2">
        <f t="shared" ref="C3:C23" si="3">SUM(B2:B5)</f>
        <v>20597</v>
      </c>
      <c r="D3" s="2">
        <f t="shared" ref="D3:D23" si="4">C3/4</f>
        <v>5149.25</v>
      </c>
      <c r="E3" s="2"/>
      <c r="F3" s="2"/>
      <c r="G3" s="2">
        <f t="shared" si="1"/>
        <v>74.05</v>
      </c>
      <c r="H3" s="2">
        <f t="shared" si="2"/>
        <v>4662.95</v>
      </c>
    </row>
    <row r="4">
      <c r="A4" s="12">
        <v>3.0</v>
      </c>
      <c r="B4" s="12">
        <v>5768.0</v>
      </c>
      <c r="C4" s="2">
        <f t="shared" si="3"/>
        <v>22149</v>
      </c>
      <c r="D4" s="2">
        <f t="shared" si="4"/>
        <v>5537.25</v>
      </c>
      <c r="E4" s="2">
        <f t="shared" ref="E4:E23" si="5">AVERAGE(D3:D4)</f>
        <v>5343.25</v>
      </c>
      <c r="F4" s="2">
        <f t="shared" ref="F4:F23" si="6">B4-E4</f>
        <v>424.75</v>
      </c>
      <c r="G4" s="2">
        <f t="shared" si="1"/>
        <v>179.075</v>
      </c>
      <c r="H4" s="2">
        <f t="shared" si="2"/>
        <v>5588.925</v>
      </c>
    </row>
    <row r="5">
      <c r="A5" s="12">
        <v>4.0</v>
      </c>
      <c r="B5" s="12">
        <v>6005.0</v>
      </c>
      <c r="C5" s="2">
        <f t="shared" si="3"/>
        <v>24157</v>
      </c>
      <c r="D5" s="2">
        <f t="shared" si="4"/>
        <v>6039.25</v>
      </c>
      <c r="E5" s="2">
        <f t="shared" si="5"/>
        <v>5788.25</v>
      </c>
      <c r="F5" s="2">
        <f t="shared" si="6"/>
        <v>216.75</v>
      </c>
      <c r="G5" s="2">
        <f t="shared" si="1"/>
        <v>633.5</v>
      </c>
      <c r="H5" s="2">
        <f t="shared" si="2"/>
        <v>5371.5</v>
      </c>
    </row>
    <row r="6">
      <c r="A6" s="12">
        <v>5.0</v>
      </c>
      <c r="B6" s="12">
        <v>5639.0</v>
      </c>
      <c r="C6" s="2">
        <f t="shared" si="3"/>
        <v>24700</v>
      </c>
      <c r="D6" s="2">
        <f t="shared" si="4"/>
        <v>6175</v>
      </c>
      <c r="E6" s="2">
        <f t="shared" si="5"/>
        <v>6107.125</v>
      </c>
      <c r="F6" s="2">
        <f t="shared" si="6"/>
        <v>-468.125</v>
      </c>
      <c r="G6" s="2">
        <f t="shared" ref="G6:G9" si="7">H30</f>
        <v>-797.1</v>
      </c>
      <c r="H6" s="2">
        <f t="shared" si="2"/>
        <v>6436.1</v>
      </c>
    </row>
    <row r="7">
      <c r="A7" s="12">
        <v>6.0</v>
      </c>
      <c r="B7" s="12">
        <v>6745.0</v>
      </c>
      <c r="C7" s="2">
        <f t="shared" si="3"/>
        <v>25802</v>
      </c>
      <c r="D7" s="2">
        <f t="shared" si="4"/>
        <v>6450.5</v>
      </c>
      <c r="E7" s="2">
        <f t="shared" si="5"/>
        <v>6312.75</v>
      </c>
      <c r="F7" s="2">
        <f t="shared" si="6"/>
        <v>432.25</v>
      </c>
      <c r="G7" s="2">
        <f t="shared" si="7"/>
        <v>74.05</v>
      </c>
      <c r="H7" s="2">
        <f t="shared" si="2"/>
        <v>6670.95</v>
      </c>
    </row>
    <row r="8">
      <c r="A8" s="12">
        <v>7.0</v>
      </c>
      <c r="B8" s="12">
        <v>6311.0</v>
      </c>
      <c r="C8" s="2">
        <f t="shared" si="3"/>
        <v>25904</v>
      </c>
      <c r="D8" s="2">
        <f t="shared" si="4"/>
        <v>6476</v>
      </c>
      <c r="E8" s="2">
        <f t="shared" si="5"/>
        <v>6463.25</v>
      </c>
      <c r="F8" s="2">
        <f t="shared" si="6"/>
        <v>-152.25</v>
      </c>
      <c r="G8" s="2">
        <f t="shared" si="7"/>
        <v>179.075</v>
      </c>
      <c r="H8" s="2">
        <f t="shared" si="2"/>
        <v>6131.925</v>
      </c>
    </row>
    <row r="9">
      <c r="A9" s="12">
        <v>8.0</v>
      </c>
      <c r="B9" s="12">
        <v>7107.0</v>
      </c>
      <c r="C9" s="2">
        <f t="shared" si="3"/>
        <v>26246</v>
      </c>
      <c r="D9" s="2">
        <f t="shared" si="4"/>
        <v>6561.5</v>
      </c>
      <c r="E9" s="2">
        <f t="shared" si="5"/>
        <v>6518.75</v>
      </c>
      <c r="F9" s="2">
        <f t="shared" si="6"/>
        <v>588.25</v>
      </c>
      <c r="G9" s="2">
        <f t="shared" si="7"/>
        <v>633.5</v>
      </c>
      <c r="H9" s="2">
        <f t="shared" si="2"/>
        <v>6473.5</v>
      </c>
    </row>
    <row r="10">
      <c r="A10" s="12">
        <v>9.0</v>
      </c>
      <c r="B10" s="12">
        <v>5741.0</v>
      </c>
      <c r="C10" s="2">
        <f t="shared" si="3"/>
        <v>27245</v>
      </c>
      <c r="D10" s="2">
        <f t="shared" si="4"/>
        <v>6811.25</v>
      </c>
      <c r="E10" s="2">
        <f t="shared" si="5"/>
        <v>6686.375</v>
      </c>
      <c r="F10" s="2">
        <f t="shared" si="6"/>
        <v>-945.375</v>
      </c>
      <c r="G10" s="2">
        <f t="shared" ref="G10:G13" si="8">H30</f>
        <v>-797.1</v>
      </c>
      <c r="H10" s="2">
        <f t="shared" si="2"/>
        <v>6538.1</v>
      </c>
    </row>
    <row r="11">
      <c r="A11" s="12">
        <v>10.0</v>
      </c>
      <c r="B11" s="12">
        <v>7087.0</v>
      </c>
      <c r="C11" s="2">
        <f t="shared" si="3"/>
        <v>28738</v>
      </c>
      <c r="D11" s="2">
        <f t="shared" si="4"/>
        <v>7184.5</v>
      </c>
      <c r="E11" s="2">
        <f t="shared" si="5"/>
        <v>6997.875</v>
      </c>
      <c r="F11" s="2">
        <f t="shared" si="6"/>
        <v>89.125</v>
      </c>
      <c r="G11" s="2">
        <f t="shared" si="8"/>
        <v>74.05</v>
      </c>
      <c r="H11" s="2">
        <f t="shared" si="2"/>
        <v>7012.95</v>
      </c>
    </row>
    <row r="12">
      <c r="A12" s="12">
        <v>11.0</v>
      </c>
      <c r="B12" s="12">
        <v>7310.0</v>
      </c>
      <c r="C12" s="2">
        <f t="shared" si="3"/>
        <v>29972</v>
      </c>
      <c r="D12" s="2">
        <f t="shared" si="4"/>
        <v>7493</v>
      </c>
      <c r="E12" s="2">
        <f t="shared" si="5"/>
        <v>7338.75</v>
      </c>
      <c r="F12" s="2">
        <f t="shared" si="6"/>
        <v>-28.75</v>
      </c>
      <c r="G12" s="2">
        <f t="shared" si="8"/>
        <v>179.075</v>
      </c>
      <c r="H12" s="2">
        <f t="shared" si="2"/>
        <v>7130.925</v>
      </c>
    </row>
    <row r="13">
      <c r="A13" s="12">
        <v>12.0</v>
      </c>
      <c r="B13" s="12">
        <v>8600.0</v>
      </c>
      <c r="C13" s="2">
        <f t="shared" si="3"/>
        <v>29776</v>
      </c>
      <c r="D13" s="2">
        <f t="shared" si="4"/>
        <v>7444</v>
      </c>
      <c r="E13" s="2">
        <f t="shared" si="5"/>
        <v>7468.5</v>
      </c>
      <c r="F13" s="2">
        <f t="shared" si="6"/>
        <v>1131.5</v>
      </c>
      <c r="G13" s="2">
        <f t="shared" si="8"/>
        <v>633.5</v>
      </c>
      <c r="H13" s="2">
        <f t="shared" si="2"/>
        <v>7966.5</v>
      </c>
    </row>
    <row r="14">
      <c r="A14" s="12">
        <v>13.0</v>
      </c>
      <c r="B14" s="12">
        <v>6975.0</v>
      </c>
      <c r="C14" s="2">
        <f t="shared" si="3"/>
        <v>29993</v>
      </c>
      <c r="D14" s="2">
        <f t="shared" si="4"/>
        <v>7498.25</v>
      </c>
      <c r="E14" s="2">
        <f t="shared" si="5"/>
        <v>7471.125</v>
      </c>
      <c r="F14" s="2">
        <f t="shared" si="6"/>
        <v>-496.125</v>
      </c>
      <c r="G14" s="2">
        <f t="shared" ref="G14:G17" si="9">H30</f>
        <v>-797.1</v>
      </c>
      <c r="H14" s="2">
        <f t="shared" si="2"/>
        <v>7772.1</v>
      </c>
    </row>
    <row r="15">
      <c r="A15" s="12">
        <v>14.0</v>
      </c>
      <c r="B15" s="12">
        <v>6891.0</v>
      </c>
      <c r="C15" s="2">
        <f t="shared" si="3"/>
        <v>29364</v>
      </c>
      <c r="D15" s="2">
        <f t="shared" si="4"/>
        <v>7341</v>
      </c>
      <c r="E15" s="2">
        <f t="shared" si="5"/>
        <v>7419.625</v>
      </c>
      <c r="F15" s="2">
        <f t="shared" si="6"/>
        <v>-528.625</v>
      </c>
      <c r="G15" s="2">
        <f t="shared" si="9"/>
        <v>74.05</v>
      </c>
      <c r="H15" s="2">
        <f t="shared" si="2"/>
        <v>6816.95</v>
      </c>
    </row>
    <row r="16">
      <c r="A16" s="12">
        <v>15.0</v>
      </c>
      <c r="B16" s="12">
        <v>7527.0</v>
      </c>
      <c r="C16" s="2">
        <f t="shared" si="3"/>
        <v>28264</v>
      </c>
      <c r="D16" s="2">
        <f t="shared" si="4"/>
        <v>7066</v>
      </c>
      <c r="E16" s="2">
        <f t="shared" si="5"/>
        <v>7203.5</v>
      </c>
      <c r="F16" s="2">
        <f t="shared" si="6"/>
        <v>323.5</v>
      </c>
      <c r="G16" s="2">
        <f t="shared" si="9"/>
        <v>179.075</v>
      </c>
      <c r="H16" s="2">
        <f t="shared" si="2"/>
        <v>7347.925</v>
      </c>
    </row>
    <row r="17">
      <c r="A17" s="12">
        <v>16.0</v>
      </c>
      <c r="B17" s="12">
        <v>7971.0</v>
      </c>
      <c r="C17" s="2">
        <f t="shared" si="3"/>
        <v>27513</v>
      </c>
      <c r="D17" s="2">
        <f t="shared" si="4"/>
        <v>6878.25</v>
      </c>
      <c r="E17" s="2">
        <f t="shared" si="5"/>
        <v>6972.125</v>
      </c>
      <c r="F17" s="2">
        <f t="shared" si="6"/>
        <v>998.875</v>
      </c>
      <c r="G17" s="2">
        <f t="shared" si="9"/>
        <v>633.5</v>
      </c>
      <c r="H17" s="2">
        <f t="shared" si="2"/>
        <v>7337.5</v>
      </c>
    </row>
    <row r="18">
      <c r="A18" s="12">
        <v>17.0</v>
      </c>
      <c r="B18" s="12">
        <v>5875.0</v>
      </c>
      <c r="C18" s="2">
        <f t="shared" si="3"/>
        <v>26234</v>
      </c>
      <c r="D18" s="2">
        <f t="shared" si="4"/>
        <v>6558.5</v>
      </c>
      <c r="E18" s="2">
        <f t="shared" si="5"/>
        <v>6718.375</v>
      </c>
      <c r="F18" s="2">
        <f t="shared" si="6"/>
        <v>-843.375</v>
      </c>
      <c r="G18" s="2">
        <f t="shared" ref="G18:G21" si="10">H30</f>
        <v>-797.1</v>
      </c>
      <c r="H18" s="2">
        <f t="shared" si="2"/>
        <v>6672.1</v>
      </c>
    </row>
    <row r="19">
      <c r="A19" s="12">
        <v>18.0</v>
      </c>
      <c r="B19" s="12">
        <v>6140.0</v>
      </c>
      <c r="C19" s="2">
        <f t="shared" si="3"/>
        <v>24304</v>
      </c>
      <c r="D19" s="2">
        <f t="shared" si="4"/>
        <v>6076</v>
      </c>
      <c r="E19" s="2">
        <f t="shared" si="5"/>
        <v>6317.25</v>
      </c>
      <c r="F19" s="2">
        <f t="shared" si="6"/>
        <v>-177.25</v>
      </c>
      <c r="G19" s="2">
        <f t="shared" si="10"/>
        <v>74.05</v>
      </c>
      <c r="H19" s="2">
        <f t="shared" si="2"/>
        <v>6065.95</v>
      </c>
    </row>
    <row r="20">
      <c r="A20" s="12">
        <v>19.0</v>
      </c>
      <c r="B20" s="12">
        <v>6248.0</v>
      </c>
      <c r="C20" s="2">
        <f t="shared" si="3"/>
        <v>23055</v>
      </c>
      <c r="D20" s="2">
        <f t="shared" si="4"/>
        <v>5763.75</v>
      </c>
      <c r="E20" s="2">
        <f t="shared" si="5"/>
        <v>5919.875</v>
      </c>
      <c r="F20" s="2">
        <f t="shared" si="6"/>
        <v>328.125</v>
      </c>
      <c r="G20" s="2">
        <f t="shared" si="10"/>
        <v>179.075</v>
      </c>
      <c r="H20" s="2">
        <f t="shared" si="2"/>
        <v>6068.925</v>
      </c>
    </row>
    <row r="21">
      <c r="A21" s="12">
        <v>20.0</v>
      </c>
      <c r="B21" s="12">
        <v>6041.0</v>
      </c>
      <c r="C21" s="2">
        <f t="shared" si="3"/>
        <v>23416</v>
      </c>
      <c r="D21" s="2">
        <f t="shared" si="4"/>
        <v>5854</v>
      </c>
      <c r="E21" s="2">
        <f t="shared" si="5"/>
        <v>5808.875</v>
      </c>
      <c r="F21" s="2">
        <f t="shared" si="6"/>
        <v>232.125</v>
      </c>
      <c r="G21" s="2">
        <f t="shared" si="10"/>
        <v>633.5</v>
      </c>
      <c r="H21" s="2">
        <f t="shared" si="2"/>
        <v>5407.5</v>
      </c>
    </row>
    <row r="22">
      <c r="A22" s="12">
        <v>21.0</v>
      </c>
      <c r="B22" s="12">
        <v>4626.0</v>
      </c>
      <c r="C22" s="2">
        <f t="shared" si="3"/>
        <v>23452</v>
      </c>
      <c r="D22" s="2">
        <f t="shared" si="4"/>
        <v>5863</v>
      </c>
      <c r="E22" s="2">
        <f t="shared" si="5"/>
        <v>5858.5</v>
      </c>
      <c r="F22" s="2">
        <f t="shared" si="6"/>
        <v>-1232.5</v>
      </c>
      <c r="G22" s="2">
        <f t="shared" ref="G22:G25" si="11">H30</f>
        <v>-797.1</v>
      </c>
      <c r="H22" s="2">
        <f t="shared" si="2"/>
        <v>5423.1</v>
      </c>
    </row>
    <row r="23">
      <c r="A23" s="12">
        <v>22.0</v>
      </c>
      <c r="B23" s="12">
        <v>6501.0</v>
      </c>
      <c r="C23" s="2">
        <f t="shared" si="3"/>
        <v>24118</v>
      </c>
      <c r="D23" s="2">
        <f t="shared" si="4"/>
        <v>6029.5</v>
      </c>
      <c r="E23" s="2">
        <f t="shared" si="5"/>
        <v>5946.25</v>
      </c>
      <c r="F23" s="2">
        <f t="shared" si="6"/>
        <v>554.75</v>
      </c>
      <c r="G23" s="2">
        <f t="shared" si="11"/>
        <v>74.05</v>
      </c>
      <c r="H23" s="2">
        <f t="shared" si="2"/>
        <v>6426.95</v>
      </c>
    </row>
    <row r="24">
      <c r="A24" s="12">
        <v>23.0</v>
      </c>
      <c r="B24" s="12">
        <v>6284.0</v>
      </c>
      <c r="C24" s="2"/>
      <c r="D24" s="2"/>
      <c r="E24" s="2"/>
      <c r="F24" s="2"/>
      <c r="G24" s="2">
        <f t="shared" si="11"/>
        <v>179.075</v>
      </c>
      <c r="H24" s="2">
        <f t="shared" si="2"/>
        <v>6104.925</v>
      </c>
    </row>
    <row r="25">
      <c r="A25" s="12">
        <v>24.0</v>
      </c>
      <c r="B25" s="12">
        <v>6707.0</v>
      </c>
      <c r="C25" s="2"/>
      <c r="D25" s="2"/>
      <c r="E25" s="2"/>
      <c r="F25" s="2"/>
      <c r="G25" s="2">
        <f t="shared" si="11"/>
        <v>633.5</v>
      </c>
      <c r="H25" s="2">
        <f t="shared" si="2"/>
        <v>6073.5</v>
      </c>
    </row>
    <row r="28" ht="28.5" customHeight="1">
      <c r="A28" s="14" t="s">
        <v>15</v>
      </c>
      <c r="B28" s="15" t="s">
        <v>16</v>
      </c>
      <c r="C28" s="16"/>
      <c r="D28" s="16"/>
      <c r="E28" s="16"/>
      <c r="F28" s="16"/>
      <c r="G28" s="17"/>
      <c r="H28" s="18" t="s">
        <v>17</v>
      </c>
      <c r="I28" s="18" t="s">
        <v>18</v>
      </c>
    </row>
    <row r="29" ht="28.5" customHeight="1">
      <c r="A29" s="19"/>
      <c r="B29" s="5">
        <v>2000.0</v>
      </c>
      <c r="C29" s="12">
        <v>2001.0</v>
      </c>
      <c r="D29" s="12">
        <v>2002.0</v>
      </c>
      <c r="E29" s="12">
        <v>2003.0</v>
      </c>
      <c r="F29" s="12">
        <v>2004.0</v>
      </c>
      <c r="G29" s="5">
        <v>2005.0</v>
      </c>
      <c r="H29" s="19"/>
      <c r="I29" s="19"/>
    </row>
    <row r="30">
      <c r="A30" s="12">
        <v>1.0</v>
      </c>
      <c r="B30" s="2"/>
      <c r="C30" s="20">
        <f t="shared" ref="C30:C33" si="12">F6</f>
        <v>-468.125</v>
      </c>
      <c r="D30" s="20">
        <f t="shared" ref="D30:D33" si="13">F10</f>
        <v>-945.375</v>
      </c>
      <c r="E30" s="20">
        <f t="shared" ref="E30:E33" si="14">F14</f>
        <v>-496.125</v>
      </c>
      <c r="F30" s="20">
        <f t="shared" ref="F30:F33" si="15">F18</f>
        <v>-843.375</v>
      </c>
      <c r="G30" s="2">
        <f t="shared" ref="G30:G31" si="16">F22</f>
        <v>-1232.5</v>
      </c>
      <c r="H30" s="12">
        <f t="shared" ref="H30:H33" si="17">AVERAGE(B30:G30)</f>
        <v>-797.1</v>
      </c>
      <c r="I30" s="12">
        <f t="shared" ref="I30:I33" si="18">H30-$H$34</f>
        <v>-819.48125</v>
      </c>
    </row>
    <row r="31">
      <c r="A31" s="12">
        <v>2.0</v>
      </c>
      <c r="B31" s="2"/>
      <c r="C31" s="20">
        <f t="shared" si="12"/>
        <v>432.25</v>
      </c>
      <c r="D31" s="20">
        <f t="shared" si="13"/>
        <v>89.125</v>
      </c>
      <c r="E31" s="20">
        <f t="shared" si="14"/>
        <v>-528.625</v>
      </c>
      <c r="F31" s="20">
        <f t="shared" si="15"/>
        <v>-177.25</v>
      </c>
      <c r="G31" s="2">
        <f t="shared" si="16"/>
        <v>554.75</v>
      </c>
      <c r="H31" s="12">
        <f t="shared" si="17"/>
        <v>74.05</v>
      </c>
      <c r="I31" s="12">
        <f t="shared" si="18"/>
        <v>51.66875</v>
      </c>
    </row>
    <row r="32">
      <c r="A32" s="12">
        <v>3.0</v>
      </c>
      <c r="B32" s="2">
        <f t="shared" ref="B32:B33" si="19">F4</f>
        <v>424.75</v>
      </c>
      <c r="C32" s="20">
        <f t="shared" si="12"/>
        <v>-152.25</v>
      </c>
      <c r="D32" s="20">
        <f t="shared" si="13"/>
        <v>-28.75</v>
      </c>
      <c r="E32" s="20">
        <f t="shared" si="14"/>
        <v>323.5</v>
      </c>
      <c r="F32" s="20">
        <f t="shared" si="15"/>
        <v>328.125</v>
      </c>
      <c r="G32" s="2"/>
      <c r="H32" s="12">
        <f t="shared" si="17"/>
        <v>179.075</v>
      </c>
      <c r="I32" s="12">
        <f t="shared" si="18"/>
        <v>156.69375</v>
      </c>
    </row>
    <row r="33">
      <c r="A33" s="12">
        <v>4.0</v>
      </c>
      <c r="B33" s="2">
        <f t="shared" si="19"/>
        <v>216.75</v>
      </c>
      <c r="C33" s="20">
        <f t="shared" si="12"/>
        <v>588.25</v>
      </c>
      <c r="D33" s="20">
        <f t="shared" si="13"/>
        <v>1131.5</v>
      </c>
      <c r="E33" s="20">
        <f t="shared" si="14"/>
        <v>998.875</v>
      </c>
      <c r="F33" s="20">
        <f t="shared" si="15"/>
        <v>232.125</v>
      </c>
      <c r="G33" s="2"/>
      <c r="H33" s="12">
        <f t="shared" si="17"/>
        <v>633.5</v>
      </c>
      <c r="I33" s="12">
        <f t="shared" si="18"/>
        <v>611.11875</v>
      </c>
    </row>
    <row r="34">
      <c r="A34" s="15" t="s">
        <v>19</v>
      </c>
      <c r="B34" s="16"/>
      <c r="C34" s="16"/>
      <c r="D34" s="16"/>
      <c r="E34" s="16"/>
      <c r="F34" s="16"/>
      <c r="G34" s="17"/>
      <c r="H34" s="12">
        <f>AVERAGE(H30:H33)</f>
        <v>22.38125</v>
      </c>
      <c r="I34" s="13"/>
    </row>
    <row r="36">
      <c r="A36" s="5" t="s">
        <v>20</v>
      </c>
      <c r="B36" s="5">
        <v>25.4</v>
      </c>
    </row>
    <row r="37">
      <c r="A37" s="5" t="s">
        <v>21</v>
      </c>
      <c r="B37" s="5">
        <v>6032.0</v>
      </c>
    </row>
    <row r="39">
      <c r="A39" s="5" t="s">
        <v>27</v>
      </c>
      <c r="B39" s="9">
        <f>$B$36*25+$B$37+I30</f>
        <v>5847.51875</v>
      </c>
    </row>
    <row r="40">
      <c r="A40" s="5" t="s">
        <v>28</v>
      </c>
      <c r="B40" s="9">
        <f>$B$36*26+$B$37+I31</f>
        <v>6744.06875</v>
      </c>
    </row>
    <row r="41">
      <c r="A41" s="5" t="s">
        <v>29</v>
      </c>
      <c r="B41" s="9">
        <f>$B$36*27+$B$37+I32</f>
        <v>6874.49375</v>
      </c>
    </row>
    <row r="42">
      <c r="A42" s="5" t="s">
        <v>30</v>
      </c>
      <c r="B42" s="9">
        <f>$B$36*28+$B$37+I33</f>
        <v>7354.31875</v>
      </c>
    </row>
  </sheetData>
  <mergeCells count="5">
    <mergeCell ref="A28:A29"/>
    <mergeCell ref="B28:G28"/>
    <mergeCell ref="H28:H29"/>
    <mergeCell ref="I28:I29"/>
    <mergeCell ref="A34:G34"/>
  </mergeCells>
  <drawing r:id="rId1"/>
</worksheet>
</file>